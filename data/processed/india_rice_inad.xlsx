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data/processed/"/>
    </mc:Choice>
  </mc:AlternateContent>
  <xr:revisionPtr revIDLastSave="1" documentId="8_{2EF4D3E4-EF52-4F5B-BB4E-507D01FBBE94}" xr6:coauthVersionLast="47" xr6:coauthVersionMax="47" xr10:uidLastSave="{BC5FF6A6-90B8-4FA2-BE3C-604E8A19A0C3}"/>
  <bookViews>
    <workbookView xWindow="1905" yWindow="-15870" windowWidth="25440" windowHeight="15270" xr2:uid="{00000000-000D-0000-FFFF-FFFF00000000}"/>
  </bookViews>
  <sheets>
    <sheet name="india_rice_in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9" i="1" l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G5" i="1"/>
  <c r="BG4" i="1"/>
  <c r="BG3" i="1"/>
  <c r="BG2" i="1"/>
  <c r="BJ55" i="1"/>
  <c r="BI55" i="1"/>
  <c r="BH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BJ54" i="1"/>
  <c r="BI54" i="1"/>
  <c r="BH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BJ53" i="1"/>
  <c r="BI53" i="1"/>
  <c r="BH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BJ52" i="1"/>
  <c r="BI52" i="1"/>
  <c r="BH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BJ51" i="1"/>
  <c r="BI51" i="1"/>
  <c r="BH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BJ50" i="1"/>
  <c r="BI50" i="1"/>
  <c r="BH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BJ49" i="1"/>
  <c r="BI49" i="1"/>
  <c r="BH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BJ48" i="1"/>
  <c r="BI48" i="1"/>
  <c r="BH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BJ47" i="1"/>
  <c r="BI47" i="1"/>
  <c r="BH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BJ46" i="1"/>
  <c r="BI46" i="1"/>
  <c r="BH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BJ45" i="1"/>
  <c r="BI45" i="1"/>
  <c r="BH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BJ44" i="1"/>
  <c r="BI44" i="1"/>
  <c r="BH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BJ43" i="1"/>
  <c r="BI43" i="1"/>
  <c r="BH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BJ42" i="1"/>
  <c r="BI42" i="1"/>
  <c r="BH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BJ41" i="1"/>
  <c r="BI41" i="1"/>
  <c r="BH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BJ40" i="1"/>
  <c r="BI40" i="1"/>
  <c r="BH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BJ39" i="1"/>
  <c r="BI39" i="1"/>
  <c r="BH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BJ38" i="1"/>
  <c r="BI38" i="1"/>
  <c r="BH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BJ37" i="1"/>
  <c r="BI37" i="1"/>
  <c r="BH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BJ36" i="1"/>
  <c r="BI36" i="1"/>
  <c r="BH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BJ35" i="1"/>
  <c r="BI35" i="1"/>
  <c r="BH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BJ34" i="1"/>
  <c r="BI34" i="1"/>
  <c r="BH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BJ33" i="1"/>
  <c r="BI33" i="1"/>
  <c r="BH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BJ32" i="1"/>
  <c r="BI32" i="1"/>
  <c r="BH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BJ31" i="1"/>
  <c r="BI31" i="1"/>
  <c r="BH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BJ30" i="1"/>
  <c r="BI30" i="1"/>
  <c r="BH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BJ29" i="1"/>
  <c r="BI29" i="1"/>
  <c r="BH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BJ28" i="1"/>
  <c r="BI28" i="1"/>
  <c r="BH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BJ27" i="1"/>
  <c r="BI27" i="1"/>
  <c r="BH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BJ26" i="1"/>
  <c r="BI26" i="1"/>
  <c r="BH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BJ25" i="1"/>
  <c r="BI25" i="1"/>
  <c r="BH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BJ24" i="1"/>
  <c r="BI24" i="1"/>
  <c r="BH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BJ23" i="1"/>
  <c r="BI23" i="1"/>
  <c r="BH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BJ22" i="1"/>
  <c r="BI22" i="1"/>
  <c r="BH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BJ21" i="1"/>
  <c r="BI21" i="1"/>
  <c r="BH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BJ20" i="1"/>
  <c r="BI20" i="1"/>
  <c r="BH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BJ19" i="1"/>
  <c r="BI19" i="1"/>
  <c r="BH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BJ18" i="1"/>
  <c r="BI18" i="1"/>
  <c r="BH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BJ17" i="1"/>
  <c r="BI17" i="1"/>
  <c r="BH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BJ16" i="1"/>
  <c r="BI16" i="1"/>
  <c r="BH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BJ15" i="1"/>
  <c r="BI15" i="1"/>
  <c r="BH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BJ14" i="1"/>
  <c r="BI14" i="1"/>
  <c r="BH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BJ13" i="1"/>
  <c r="BI13" i="1"/>
  <c r="BH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BJ12" i="1"/>
  <c r="BI12" i="1"/>
  <c r="BH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BJ11" i="1"/>
  <c r="BI11" i="1"/>
  <c r="BH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BJ10" i="1"/>
  <c r="BI10" i="1"/>
  <c r="BH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BJ9" i="1"/>
  <c r="BI9" i="1"/>
  <c r="BF9" i="1"/>
  <c r="BE9" i="1"/>
  <c r="BD9" i="1"/>
  <c r="BC9" i="1"/>
  <c r="BB9" i="1"/>
  <c r="BA9" i="1"/>
  <c r="AZ9" i="1"/>
  <c r="AY9" i="1"/>
  <c r="AX9" i="1"/>
  <c r="AW9" i="1"/>
  <c r="AV9" i="1"/>
  <c r="AU9" i="1"/>
  <c r="BJ8" i="1"/>
  <c r="BI8" i="1"/>
  <c r="BH8" i="1"/>
  <c r="BF8" i="1"/>
  <c r="BE8" i="1"/>
  <c r="BD8" i="1"/>
  <c r="BC8" i="1"/>
  <c r="BB8" i="1"/>
  <c r="BA8" i="1"/>
  <c r="AZ8" i="1"/>
  <c r="AY8" i="1"/>
  <c r="AX8" i="1"/>
  <c r="AW8" i="1"/>
  <c r="AV8" i="1"/>
  <c r="AU8" i="1"/>
  <c r="BJ7" i="1"/>
  <c r="BI7" i="1"/>
  <c r="BH7" i="1"/>
  <c r="BF7" i="1"/>
  <c r="BE7" i="1"/>
  <c r="BD7" i="1"/>
  <c r="BC7" i="1"/>
  <c r="BB7" i="1"/>
  <c r="BA7" i="1"/>
  <c r="AZ7" i="1"/>
  <c r="AY7" i="1"/>
  <c r="AX7" i="1"/>
  <c r="AW7" i="1"/>
  <c r="AV7" i="1"/>
  <c r="AU7" i="1"/>
  <c r="BJ6" i="1"/>
  <c r="BI6" i="1"/>
  <c r="BH6" i="1"/>
  <c r="BF6" i="1"/>
  <c r="BE6" i="1"/>
  <c r="BD6" i="1"/>
  <c r="BC6" i="1"/>
  <c r="BB6" i="1"/>
  <c r="BA6" i="1"/>
  <c r="AZ6" i="1"/>
  <c r="AY6" i="1"/>
  <c r="AX6" i="1"/>
  <c r="AW6" i="1"/>
  <c r="AV6" i="1"/>
  <c r="AU6" i="1"/>
  <c r="BJ5" i="1"/>
  <c r="BI5" i="1"/>
  <c r="BH5" i="1"/>
  <c r="BF5" i="1"/>
  <c r="BE5" i="1"/>
  <c r="BD5" i="1"/>
  <c r="BC5" i="1"/>
  <c r="BB5" i="1"/>
  <c r="BA5" i="1"/>
  <c r="AZ5" i="1"/>
  <c r="AY5" i="1"/>
  <c r="AX5" i="1"/>
  <c r="AW5" i="1"/>
  <c r="AV5" i="1"/>
  <c r="AU5" i="1"/>
  <c r="BJ4" i="1"/>
  <c r="BI4" i="1"/>
  <c r="BH4" i="1"/>
  <c r="BF4" i="1"/>
  <c r="BE4" i="1"/>
  <c r="BD4" i="1"/>
  <c r="BC4" i="1"/>
  <c r="BB4" i="1"/>
  <c r="BA4" i="1"/>
  <c r="AZ4" i="1"/>
  <c r="AY4" i="1"/>
  <c r="AX4" i="1"/>
  <c r="AW4" i="1"/>
  <c r="AV4" i="1"/>
  <c r="AU4" i="1"/>
  <c r="BJ3" i="1"/>
  <c r="BI3" i="1"/>
  <c r="BH3" i="1"/>
  <c r="BF3" i="1"/>
  <c r="BE3" i="1"/>
  <c r="BD3" i="1"/>
  <c r="BC3" i="1"/>
  <c r="BB3" i="1"/>
  <c r="BA3" i="1"/>
  <c r="AZ3" i="1"/>
  <c r="AY3" i="1"/>
  <c r="AX3" i="1"/>
  <c r="AW3" i="1"/>
  <c r="AV3" i="1"/>
  <c r="AU3" i="1"/>
  <c r="BJ2" i="1"/>
  <c r="BI2" i="1"/>
  <c r="BH2" i="1"/>
  <c r="BF2" i="1"/>
  <c r="BE2" i="1"/>
  <c r="BD2" i="1"/>
  <c r="BC2" i="1"/>
  <c r="BB2" i="1"/>
  <c r="BA2" i="1"/>
  <c r="AZ2" i="1"/>
  <c r="AY2" i="1"/>
  <c r="AX2" i="1"/>
  <c r="AW2" i="1"/>
  <c r="AV2" i="1"/>
  <c r="AU2" i="1"/>
</calcChain>
</file>

<file path=xl/sharedStrings.xml><?xml version="1.0" encoding="utf-8"?>
<sst xmlns="http://schemas.openxmlformats.org/spreadsheetml/2006/main" count="87" uniqueCount="79">
  <si>
    <t>category</t>
  </si>
  <si>
    <t>folate_inad</t>
  </si>
  <si>
    <t>folate_inad_se</t>
  </si>
  <si>
    <t>vitb12_inad</t>
  </si>
  <si>
    <t>vitb12_inad_se</t>
  </si>
  <si>
    <t>thia_inad</t>
  </si>
  <si>
    <t>thia_inad_se</t>
  </si>
  <si>
    <t>niac_inad</t>
  </si>
  <si>
    <t>niac_inad_se</t>
  </si>
  <si>
    <t>vitb6_inad</t>
  </si>
  <si>
    <t>vitb6_inad_se</t>
  </si>
  <si>
    <t>vita_inad</t>
  </si>
  <si>
    <t>vita_inad_se</t>
  </si>
  <si>
    <t>zn_inad</t>
  </si>
  <si>
    <t>zn_inad_se</t>
  </si>
  <si>
    <t>folate_inad_fort</t>
  </si>
  <si>
    <t>folate_inad_fort_se</t>
  </si>
  <si>
    <t>vitb12_inad_fort</t>
  </si>
  <si>
    <t>vitb12_inad_fort_se</t>
  </si>
  <si>
    <t>thia_inad_fort</t>
  </si>
  <si>
    <t>thia_inad_fort_se</t>
  </si>
  <si>
    <t>niac_inad_fort</t>
  </si>
  <si>
    <t>niac_inad_fort_se</t>
  </si>
  <si>
    <t>vitb6_inad_fort</t>
  </si>
  <si>
    <t>vitb6_inad_fort_se</t>
  </si>
  <si>
    <t>vita_inad_fort</t>
  </si>
  <si>
    <t>vita_inad_fort_se</t>
  </si>
  <si>
    <t>zn_inad_fort</t>
  </si>
  <si>
    <t>zn_inad_fort_se</t>
  </si>
  <si>
    <t>folate_inad_fort_wfp</t>
  </si>
  <si>
    <t>folate_inad_fort_wfp_se</t>
  </si>
  <si>
    <t>vitb12_inad_fort_wfp</t>
  </si>
  <si>
    <t>vitb12_inad_fort_wfp_se</t>
  </si>
  <si>
    <t>thia_inad_fort_wfp</t>
  </si>
  <si>
    <t>thia_inad_fort_wfp_se</t>
  </si>
  <si>
    <t>niac_inad_fort_wfp</t>
  </si>
  <si>
    <t>niac_inad_fort_wfp_se</t>
  </si>
  <si>
    <t>vitb6_inad_fort_wfp</t>
  </si>
  <si>
    <t>vitb6_inad_fort_wfp_se</t>
  </si>
  <si>
    <t>vita_inad_fort_wfp</t>
  </si>
  <si>
    <t>vita_inad_fort_wfp_se</t>
  </si>
  <si>
    <t>zn_inad_fort_wfp</t>
  </si>
  <si>
    <t>zn_inad_fort_wfp_se</t>
  </si>
  <si>
    <t>fe_inad</t>
  </si>
  <si>
    <t>fe_inad_fort</t>
  </si>
  <si>
    <t>fe_inad_fort_wfp</t>
  </si>
  <si>
    <t>folate_delta</t>
  </si>
  <si>
    <t>vitb12_delta</t>
  </si>
  <si>
    <t>iron_delta</t>
  </si>
  <si>
    <t>vita_delta</t>
  </si>
  <si>
    <t>thia_delta</t>
  </si>
  <si>
    <t>niac_delta</t>
  </si>
  <si>
    <t>vitb6_delta</t>
  </si>
  <si>
    <t>zn_delta</t>
  </si>
  <si>
    <t>national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</si>
  <si>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</si>
  <si>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</si>
  <si>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</si>
  <si>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</si>
  <si>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</si>
  <si>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</si>
  <si>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</si>
  <si>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</si>
  <si>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</si>
  <si>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quntile 1</t>
  </si>
  <si>
    <t>quntile 2</t>
  </si>
  <si>
    <t>quntile 3</t>
  </si>
  <si>
    <t>quntile 4</t>
  </si>
  <si>
    <t>quntile 5</t>
  </si>
  <si>
    <t>Rural 1</t>
  </si>
  <si>
    <t>Rural 2</t>
  </si>
  <si>
    <t>Rural 3</t>
  </si>
  <si>
    <t>Rural 4</t>
  </si>
  <si>
    <t>Rural 5</t>
  </si>
  <si>
    <t>Urban 1</t>
  </si>
  <si>
    <t>Urban 2</t>
  </si>
  <si>
    <t>Urban 3</t>
  </si>
  <si>
    <t>Urban 4</t>
  </si>
  <si>
    <t>Urban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</si>
</sst>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5"/>
  <sheetViews>
    <sheetView tabSelected="1" topLeftCell="AO1" workbookViewId="0">
      <selection activeCell="BH9" sqref="BH9"/>
    </sheetView>
  </sheetViews>
  <sheetFormatPr defaultRowHeight="14.5" x14ac:dyDescent="0.35"/>
  <cols>
    <col min="46" max="46" width="10.7265625" customWidth="1"/>
    <col min="47" max="47" width="10.81640625" style="2" bestFit="1" customWidth="1"/>
    <col min="48" max="48" width="11.08984375" style="2" bestFit="1" customWidth="1"/>
    <col min="49" max="49" width="9.81640625" style="2" bestFit="1" customWidth="1"/>
    <col min="50" max="51" width="9.1796875" style="2" bestFit="1" customWidth="1"/>
    <col min="52" max="52" width="9.36328125" style="2" bestFit="1" customWidth="1"/>
    <col min="53" max="53" width="10.08984375" style="2" bestFit="1" customWidth="1"/>
    <col min="54" max="54" width="9.1796875" style="2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J1" s="2" t="s">
        <v>53</v>
      </c>
    </row>
    <row r="2" spans="1:62" x14ac:dyDescent="0.35">
      <c r="A2" t="s">
        <v>54</v>
      </c>
      <c r="B2">
        <v>37.01</v>
      </c>
      <c r="C2">
        <v>0.14000000000000001</v>
      </c>
      <c r="D2">
        <v>47.16</v>
      </c>
      <c r="E2">
        <v>0.14000000000000001</v>
      </c>
      <c r="F2">
        <v>38.36</v>
      </c>
      <c r="G2">
        <v>0.13</v>
      </c>
      <c r="H2">
        <v>88.07</v>
      </c>
      <c r="I2">
        <v>0.08</v>
      </c>
      <c r="J2">
        <v>94.98</v>
      </c>
      <c r="K2">
        <v>0.06</v>
      </c>
      <c r="L2">
        <v>98.1</v>
      </c>
      <c r="M2">
        <v>0.03</v>
      </c>
      <c r="N2">
        <v>87.54</v>
      </c>
      <c r="O2">
        <v>0.08</v>
      </c>
      <c r="P2">
        <v>32.85</v>
      </c>
      <c r="Q2">
        <v>0.14000000000000001</v>
      </c>
      <c r="R2">
        <v>44.37</v>
      </c>
      <c r="S2">
        <v>0.14000000000000001</v>
      </c>
      <c r="T2">
        <v>26.6</v>
      </c>
      <c r="U2">
        <v>0.12</v>
      </c>
      <c r="V2">
        <v>74.209999999999994</v>
      </c>
      <c r="W2">
        <v>0.11</v>
      </c>
      <c r="X2">
        <v>86.88</v>
      </c>
      <c r="Y2">
        <v>0.09</v>
      </c>
      <c r="Z2">
        <v>94.85</v>
      </c>
      <c r="AA2">
        <v>0.05</v>
      </c>
      <c r="AB2">
        <v>79.12</v>
      </c>
      <c r="AC2">
        <v>0.1</v>
      </c>
      <c r="AD2">
        <v>15.34</v>
      </c>
      <c r="AE2">
        <v>0.12</v>
      </c>
      <c r="AF2">
        <v>23.34</v>
      </c>
      <c r="AG2">
        <v>0.12</v>
      </c>
      <c r="AH2">
        <v>12.61</v>
      </c>
      <c r="AI2">
        <v>0.1</v>
      </c>
      <c r="AJ2">
        <v>42.83</v>
      </c>
      <c r="AK2">
        <v>0.14000000000000001</v>
      </c>
      <c r="AL2">
        <v>59.71</v>
      </c>
      <c r="AM2">
        <v>0.13</v>
      </c>
      <c r="AN2">
        <v>81.02</v>
      </c>
      <c r="AO2">
        <v>0.1</v>
      </c>
      <c r="AP2">
        <v>42.16</v>
      </c>
      <c r="AQ2">
        <v>0.14000000000000001</v>
      </c>
      <c r="AR2">
        <v>71.150000000000006</v>
      </c>
      <c r="AS2">
        <v>53.6</v>
      </c>
      <c r="AT2">
        <v>41.3</v>
      </c>
      <c r="AU2" s="2" t="str">
        <f>ROUND(B2,0)&amp;"("&amp;ROUND(((B2-P2)/B2)*100,0)&amp;")"</f>
        <v>37(11)</v>
      </c>
      <c r="AV2" s="2" t="str">
        <f>ROUND(D2,0)&amp;"("&amp;ROUND(((D2-R2)/D2)*100,0)&amp;")"</f>
        <v>47(6)</v>
      </c>
      <c r="AW2" s="2" t="str">
        <f>ROUND(AR2,0)&amp;"("&amp;ROUND((AR2-AS2)/AR2*100,0)&amp;")"</f>
        <v>71(25)</v>
      </c>
      <c r="AX2" s="2" t="str">
        <f>ROUND(L2,0)&amp;"("&amp;ROUND((L2-Z2)/L2*100,0)&amp;")"</f>
        <v>98(3)</v>
      </c>
      <c r="AY2" s="2" t="str">
        <f>ROUND(F2,0)&amp;"("&amp;ROUND((F2-T2)/F2*100,0)&amp;")"</f>
        <v>38(31)</v>
      </c>
      <c r="AZ2" s="2" t="str">
        <f>ROUND(H2,0)&amp;"("&amp;ROUND((H2-V2)/H2*100,0)&amp;")"</f>
        <v>88(16)</v>
      </c>
      <c r="BA2" s="2" t="str">
        <f>ROUND(J2,0)&amp;"("&amp;ROUND((J2-X2)/J2*100,0)&amp;")"</f>
        <v>95(9)</v>
      </c>
      <c r="BB2" s="2" t="str">
        <f>ROUND(N2,0)&amp;"("&amp;ROUND((N2-AB2)/N2*100,0)&amp;")"</f>
        <v>88(10)</v>
      </c>
      <c r="BC2" s="2" t="str">
        <f>ROUND(B2,0)&amp;"("&amp;ROUND((B2-AD2)/B2*100,0)&amp;")"</f>
        <v>37(59)</v>
      </c>
      <c r="BD2" s="2" t="str">
        <f>ROUND(D2,0)&amp;"("&amp;ROUND((D2-AF2)/D2*100,1)&amp;")"</f>
        <v>47(50.5)</v>
      </c>
      <c r="BE2" s="2" t="str">
        <f>ROUND(AR2,0)&amp;"("&amp;ROUND((AR2-AT2)/AR2*100,0)&amp;")"</f>
        <v>71(42)</v>
      </c>
      <c r="BF2" s="2" t="str">
        <f>ROUND(L2,0)&amp;"("&amp;ROUND((L2-AN2)/L2*100,0)&amp;")"</f>
        <v>98(17)</v>
      </c>
      <c r="BG2" s="2" t="str">
        <f>ROUND(F2,0)&amp;"("&amp;ROUND((F2-AH2)/F2*100,0)&amp;")"</f>
        <v>38(67)</v>
      </c>
      <c r="BH2" s="2" t="str">
        <f>ROUND(H2,0)&amp;"("&amp;ROUND((H2-AJ2)/H2*100,0)&amp;")"</f>
        <v>88(51)</v>
      </c>
      <c r="BI2" s="2" t="str">
        <f>ROUND(J2,0)&amp;"("&amp;ROUND((J2-AL2)/J2*100,0)&amp;")"</f>
        <v>95(37)</v>
      </c>
      <c r="BJ2" s="2" t="str">
        <f>ROUND(N2,0)&amp;"("&amp;ROUND((N2-AP2)/N2*100,0)&amp;")"</f>
        <v>88(52)</v>
      </c>
    </row>
    <row r="3" spans="1:62" x14ac:dyDescent="0.35">
      <c r="A3" s="1" t="s">
        <v>55</v>
      </c>
      <c r="B3">
        <v>28.89</v>
      </c>
      <c r="C3">
        <v>0.97</v>
      </c>
      <c r="D3">
        <v>15.47</v>
      </c>
      <c r="E3">
        <v>0.76</v>
      </c>
      <c r="F3">
        <v>19.239999999999998</v>
      </c>
      <c r="G3">
        <v>0.83</v>
      </c>
      <c r="H3">
        <v>89.24</v>
      </c>
      <c r="I3">
        <v>0.65</v>
      </c>
      <c r="J3">
        <v>95.46</v>
      </c>
      <c r="K3">
        <v>0.43</v>
      </c>
      <c r="L3">
        <v>92.82</v>
      </c>
      <c r="M3">
        <v>0.54</v>
      </c>
      <c r="N3">
        <v>88.09</v>
      </c>
      <c r="O3">
        <v>0.69</v>
      </c>
      <c r="P3">
        <v>22.84</v>
      </c>
      <c r="Q3">
        <v>0.89</v>
      </c>
      <c r="R3">
        <v>13.99</v>
      </c>
      <c r="S3">
        <v>0.73</v>
      </c>
      <c r="T3">
        <v>7.76</v>
      </c>
      <c r="U3">
        <v>0.55000000000000004</v>
      </c>
      <c r="V3">
        <v>74.06</v>
      </c>
      <c r="W3">
        <v>0.94</v>
      </c>
      <c r="X3">
        <v>85.69</v>
      </c>
      <c r="Y3">
        <v>0.75</v>
      </c>
      <c r="Z3">
        <v>85.94</v>
      </c>
      <c r="AA3">
        <v>0.74</v>
      </c>
      <c r="AB3">
        <v>76.12</v>
      </c>
      <c r="AC3">
        <v>0.92</v>
      </c>
      <c r="AD3">
        <v>7.39</v>
      </c>
      <c r="AE3">
        <v>0.56000000000000005</v>
      </c>
      <c r="AF3">
        <v>8.7100000000000009</v>
      </c>
      <c r="AG3">
        <v>0.6</v>
      </c>
      <c r="AH3">
        <v>4.3600000000000003</v>
      </c>
      <c r="AI3">
        <v>0.41</v>
      </c>
      <c r="AJ3">
        <v>39.42</v>
      </c>
      <c r="AK3">
        <v>1.07</v>
      </c>
      <c r="AL3">
        <v>52.74</v>
      </c>
      <c r="AM3">
        <v>1.07</v>
      </c>
      <c r="AN3">
        <v>65.819999999999993</v>
      </c>
      <c r="AO3">
        <v>1.02</v>
      </c>
      <c r="AP3">
        <v>35.01</v>
      </c>
      <c r="AQ3">
        <v>1.04</v>
      </c>
      <c r="AR3">
        <v>73.650000000000006</v>
      </c>
      <c r="AS3">
        <v>53.28</v>
      </c>
      <c r="AT3">
        <v>38.85</v>
      </c>
      <c r="AU3" s="2" t="str">
        <f t="shared" ref="AU3:AU55" si="0">ROUND(B3,0)&amp;"("&amp;ROUND(((B3-P3)/B3)*100,0)&amp;")"</f>
        <v>29(21)</v>
      </c>
      <c r="AV3" s="2" t="str">
        <f t="shared" ref="AV3:AV55" si="1">ROUND(D3,0)&amp;"("&amp;ROUND(((D3-R3)/D3)*100,0)&amp;")"</f>
        <v>15(10)</v>
      </c>
      <c r="AW3" s="2" t="str">
        <f t="shared" ref="AW3:AW55" si="2">ROUND(AR3,0)&amp;"("&amp;ROUND((AR3-AS3)/AR3*100,0)&amp;")"</f>
        <v>74(28)</v>
      </c>
      <c r="AX3" s="2" t="str">
        <f t="shared" ref="AX3:AX55" si="3">ROUND(L3,0)&amp;"("&amp;ROUND((L3-Z3)/L3*100,0)&amp;")"</f>
        <v>93(7)</v>
      </c>
      <c r="AY3" s="2" t="str">
        <f t="shared" ref="AY3:AY55" si="4">ROUND(F3,0)&amp;"("&amp;ROUND((F3-T3)/F3*100,0)&amp;")"</f>
        <v>19(60)</v>
      </c>
      <c r="AZ3" s="2" t="str">
        <f t="shared" ref="AZ3:AZ55" si="5">ROUND(H3,0)&amp;"("&amp;ROUND((H3-V3)/H3*100,0)&amp;")"</f>
        <v>89(17)</v>
      </c>
      <c r="BA3" s="2" t="str">
        <f t="shared" ref="BA3:BA55" si="6">ROUND(J3,0)&amp;"("&amp;ROUND((J3-X3)/J3*100,0)&amp;")"</f>
        <v>95(10)</v>
      </c>
      <c r="BB3" s="2" t="str">
        <f t="shared" ref="BB3:BB55" si="7">ROUND(N3,0)&amp;"("&amp;ROUND((N3-AB3)/N3*100,0)&amp;")"</f>
        <v>88(14)</v>
      </c>
      <c r="BC3" s="2" t="str">
        <f t="shared" ref="BC3:BC55" si="8">ROUND(B3,0)&amp;"("&amp;ROUND((B3-AD3)/B3*100,0)&amp;")"</f>
        <v>29(74)</v>
      </c>
      <c r="BD3" s="2" t="str">
        <f t="shared" ref="BD3:BD55" si="9">ROUND(D3,0)&amp;"("&amp;ROUND((D3-AF3)/D3*100,1)&amp;")"</f>
        <v>15(43.7)</v>
      </c>
      <c r="BE3" s="2" t="str">
        <f t="shared" ref="BE3:BE55" si="10">ROUND(AR3,0)&amp;"("&amp;ROUND((AR3-AT3)/AR3*100,0)&amp;")"</f>
        <v>74(47)</v>
      </c>
      <c r="BF3" s="2" t="str">
        <f t="shared" ref="BF3:BF55" si="11">ROUND(L3,0)&amp;"("&amp;ROUND((L3-AN3)/L3*100,0)&amp;")"</f>
        <v>93(29)</v>
      </c>
      <c r="BG3" s="2" t="str">
        <f t="shared" ref="BG3:BG55" si="12">ROUND(F3,0)&amp;"("&amp;ROUND((F3-AH3)/F3*100,0)&amp;")"</f>
        <v>19(77)</v>
      </c>
      <c r="BH3" s="2" t="str">
        <f t="shared" ref="BH3:BH55" si="13">ROUND(H3,0)&amp;"("&amp;ROUND((H3-AJ3)/H3*100,0)&amp;")"</f>
        <v>89(56)</v>
      </c>
      <c r="BI3" s="2" t="str">
        <f t="shared" ref="BI3:BI55" si="14">ROUND(J3,0)&amp;"("&amp;ROUND((J3-AL3)/J3*100,0)&amp;")"</f>
        <v>95(45)</v>
      </c>
      <c r="BJ3" s="2" t="str">
        <f t="shared" ref="BJ3:BJ55" si="15">ROUND(N3,0)&amp;"("&amp;ROUND((N3-AP3)/N3*100,0)&amp;")"</f>
        <v>88(60)</v>
      </c>
    </row>
    <row r="4" spans="1:62" x14ac:dyDescent="0.35">
      <c r="A4" s="1" t="s">
        <v>56</v>
      </c>
      <c r="B4">
        <v>20.13</v>
      </c>
      <c r="C4">
        <v>1.36</v>
      </c>
      <c r="D4">
        <v>37.53</v>
      </c>
      <c r="E4">
        <v>1.39</v>
      </c>
      <c r="F4">
        <v>14.73</v>
      </c>
      <c r="G4">
        <v>1.32</v>
      </c>
      <c r="H4">
        <v>90.65</v>
      </c>
      <c r="I4">
        <v>0.72</v>
      </c>
      <c r="J4">
        <v>93.53</v>
      </c>
      <c r="K4">
        <v>0.6</v>
      </c>
      <c r="L4">
        <v>97.41</v>
      </c>
      <c r="M4">
        <v>0.39</v>
      </c>
      <c r="N4">
        <v>82.44</v>
      </c>
      <c r="O4">
        <v>0.94</v>
      </c>
      <c r="P4">
        <v>18.7</v>
      </c>
      <c r="Q4">
        <v>1.35</v>
      </c>
      <c r="R4">
        <v>36.6</v>
      </c>
      <c r="S4">
        <v>1.39</v>
      </c>
      <c r="T4">
        <v>12.84</v>
      </c>
      <c r="U4">
        <v>1.3</v>
      </c>
      <c r="V4">
        <v>83.32</v>
      </c>
      <c r="W4">
        <v>0.93</v>
      </c>
      <c r="X4">
        <v>88.19</v>
      </c>
      <c r="Y4">
        <v>0.79</v>
      </c>
      <c r="Z4">
        <v>94.99</v>
      </c>
      <c r="AA4">
        <v>0.54</v>
      </c>
      <c r="AB4">
        <v>72.709999999999994</v>
      </c>
      <c r="AC4">
        <v>1.1200000000000001</v>
      </c>
      <c r="AD4">
        <v>12.25</v>
      </c>
      <c r="AE4">
        <v>1.3</v>
      </c>
      <c r="AF4">
        <v>27.85</v>
      </c>
      <c r="AG4">
        <v>1.39</v>
      </c>
      <c r="AH4">
        <v>10.77</v>
      </c>
      <c r="AI4">
        <v>1.28</v>
      </c>
      <c r="AJ4">
        <v>49.45</v>
      </c>
      <c r="AK4">
        <v>1.34</v>
      </c>
      <c r="AL4">
        <v>66.48</v>
      </c>
      <c r="AM4">
        <v>1.21</v>
      </c>
      <c r="AN4">
        <v>88.59</v>
      </c>
      <c r="AO4">
        <v>0.79</v>
      </c>
      <c r="AP4">
        <v>42.18</v>
      </c>
      <c r="AQ4">
        <v>1.37</v>
      </c>
      <c r="AR4">
        <v>59.08</v>
      </c>
      <c r="AS4">
        <v>48.79</v>
      </c>
      <c r="AT4">
        <v>41.64</v>
      </c>
      <c r="AU4" s="2" t="str">
        <f t="shared" si="0"/>
        <v>20(7)</v>
      </c>
      <c r="AV4" s="2" t="str">
        <f t="shared" si="1"/>
        <v>38(2)</v>
      </c>
      <c r="AW4" s="2" t="str">
        <f t="shared" si="2"/>
        <v>59(17)</v>
      </c>
      <c r="AX4" s="2" t="str">
        <f t="shared" si="3"/>
        <v>97(2)</v>
      </c>
      <c r="AY4" s="2" t="str">
        <f t="shared" si="4"/>
        <v>15(13)</v>
      </c>
      <c r="AZ4" s="2" t="str">
        <f t="shared" si="5"/>
        <v>91(8)</v>
      </c>
      <c r="BA4" s="2" t="str">
        <f t="shared" si="6"/>
        <v>94(6)</v>
      </c>
      <c r="BB4" s="2" t="str">
        <f t="shared" si="7"/>
        <v>82(12)</v>
      </c>
      <c r="BC4" s="2" t="str">
        <f t="shared" si="8"/>
        <v>20(39)</v>
      </c>
      <c r="BD4" s="2" t="str">
        <f t="shared" si="9"/>
        <v>38(25.8)</v>
      </c>
      <c r="BE4" s="2" t="str">
        <f t="shared" si="10"/>
        <v>59(30)</v>
      </c>
      <c r="BF4" s="2" t="str">
        <f t="shared" si="11"/>
        <v>97(9)</v>
      </c>
      <c r="BG4" s="2" t="str">
        <f t="shared" si="12"/>
        <v>15(27)</v>
      </c>
      <c r="BH4" s="2" t="str">
        <f t="shared" si="13"/>
        <v>91(45)</v>
      </c>
      <c r="BI4" s="2" t="str">
        <f t="shared" si="14"/>
        <v>94(29)</v>
      </c>
      <c r="BJ4" s="2" t="str">
        <f t="shared" si="15"/>
        <v>82(49)</v>
      </c>
    </row>
    <row r="5" spans="1:62" x14ac:dyDescent="0.35">
      <c r="A5" s="1" t="s">
        <v>57</v>
      </c>
      <c r="B5">
        <v>28.57</v>
      </c>
      <c r="C5">
        <v>0.72</v>
      </c>
      <c r="D5">
        <v>17.12</v>
      </c>
      <c r="E5">
        <v>0.61</v>
      </c>
      <c r="F5">
        <v>11.39</v>
      </c>
      <c r="G5">
        <v>0.54</v>
      </c>
      <c r="H5">
        <v>94.89</v>
      </c>
      <c r="I5">
        <v>0.32</v>
      </c>
      <c r="J5">
        <v>94.91</v>
      </c>
      <c r="K5">
        <v>0.32</v>
      </c>
      <c r="L5">
        <v>94.67</v>
      </c>
      <c r="M5">
        <v>0.34</v>
      </c>
      <c r="N5">
        <v>84.04</v>
      </c>
      <c r="O5">
        <v>0.56000000000000005</v>
      </c>
      <c r="P5">
        <v>28.57</v>
      </c>
      <c r="Q5">
        <v>0.72</v>
      </c>
      <c r="R5">
        <v>17.12</v>
      </c>
      <c r="S5">
        <v>0.61</v>
      </c>
      <c r="T5">
        <v>11.39</v>
      </c>
      <c r="U5">
        <v>0.54</v>
      </c>
      <c r="V5">
        <v>94.89</v>
      </c>
      <c r="W5">
        <v>0.32</v>
      </c>
      <c r="X5">
        <v>94.9</v>
      </c>
      <c r="Y5">
        <v>0.32</v>
      </c>
      <c r="Z5">
        <v>94.67</v>
      </c>
      <c r="AA5">
        <v>0.34</v>
      </c>
      <c r="AB5">
        <v>84.04</v>
      </c>
      <c r="AC5">
        <v>0.56000000000000005</v>
      </c>
      <c r="AD5">
        <v>28.57</v>
      </c>
      <c r="AE5">
        <v>0.72</v>
      </c>
      <c r="AF5">
        <v>17.12</v>
      </c>
      <c r="AG5">
        <v>0.61</v>
      </c>
      <c r="AH5">
        <v>11.39</v>
      </c>
      <c r="AI5">
        <v>0.54</v>
      </c>
      <c r="AJ5">
        <v>94.89</v>
      </c>
      <c r="AK5">
        <v>0.32</v>
      </c>
      <c r="AL5">
        <v>94.9</v>
      </c>
      <c r="AM5">
        <v>0.32</v>
      </c>
      <c r="AN5">
        <v>94.67</v>
      </c>
      <c r="AO5">
        <v>0.34</v>
      </c>
      <c r="AP5">
        <v>84.04</v>
      </c>
      <c r="AQ5">
        <v>0.56000000000000005</v>
      </c>
      <c r="AR5">
        <v>59.58</v>
      </c>
      <c r="AS5">
        <v>59.58</v>
      </c>
      <c r="AT5">
        <v>59.58</v>
      </c>
      <c r="AU5" s="2" t="str">
        <f t="shared" si="0"/>
        <v>29(0)</v>
      </c>
      <c r="AV5" s="2" t="str">
        <f t="shared" si="1"/>
        <v>17(0)</v>
      </c>
      <c r="AW5" s="2" t="str">
        <f t="shared" si="2"/>
        <v>60(0)</v>
      </c>
      <c r="AX5" s="2" t="str">
        <f t="shared" si="3"/>
        <v>95(0)</v>
      </c>
      <c r="AY5" s="2" t="str">
        <f t="shared" si="4"/>
        <v>11(0)</v>
      </c>
      <c r="AZ5" s="2" t="str">
        <f t="shared" si="5"/>
        <v>95(0)</v>
      </c>
      <c r="BA5" s="2" t="str">
        <f t="shared" si="6"/>
        <v>95(0)</v>
      </c>
      <c r="BB5" s="2" t="str">
        <f t="shared" si="7"/>
        <v>84(0)</v>
      </c>
      <c r="BC5" s="2" t="str">
        <f t="shared" si="8"/>
        <v>29(0)</v>
      </c>
      <c r="BD5" s="2" t="str">
        <f t="shared" si="9"/>
        <v>17(0)</v>
      </c>
      <c r="BE5" s="2" t="str">
        <f t="shared" si="10"/>
        <v>60(0)</v>
      </c>
      <c r="BF5" s="2" t="str">
        <f t="shared" si="11"/>
        <v>95(0)</v>
      </c>
      <c r="BG5" s="2" t="str">
        <f t="shared" si="12"/>
        <v>11(0)</v>
      </c>
      <c r="BH5" s="2" t="str">
        <f t="shared" si="13"/>
        <v>95(0)</v>
      </c>
      <c r="BI5" s="2" t="str">
        <f t="shared" si="14"/>
        <v>95(0)</v>
      </c>
      <c r="BJ5" s="2" t="str">
        <f t="shared" si="15"/>
        <v>84(0)</v>
      </c>
    </row>
    <row r="6" spans="1:62" x14ac:dyDescent="0.35">
      <c r="A6" s="1" t="s">
        <v>58</v>
      </c>
      <c r="B6">
        <v>29.91</v>
      </c>
      <c r="C6">
        <v>2.85</v>
      </c>
      <c r="D6">
        <v>16.36</v>
      </c>
      <c r="E6">
        <v>2.09</v>
      </c>
      <c r="F6">
        <v>27.68</v>
      </c>
      <c r="G6">
        <v>2.86</v>
      </c>
      <c r="H6">
        <v>95.35</v>
      </c>
      <c r="I6">
        <v>1.19</v>
      </c>
      <c r="J6">
        <v>95.25</v>
      </c>
      <c r="K6">
        <v>1.3</v>
      </c>
      <c r="L6">
        <v>95.13</v>
      </c>
      <c r="M6">
        <v>1.1200000000000001</v>
      </c>
      <c r="N6">
        <v>90.19</v>
      </c>
      <c r="O6">
        <v>1.69</v>
      </c>
      <c r="P6">
        <v>29.91</v>
      </c>
      <c r="Q6">
        <v>2.85</v>
      </c>
      <c r="R6">
        <v>16.36</v>
      </c>
      <c r="S6">
        <v>2.09</v>
      </c>
      <c r="T6">
        <v>27.68</v>
      </c>
      <c r="U6">
        <v>2.86</v>
      </c>
      <c r="V6">
        <v>95.35</v>
      </c>
      <c r="W6">
        <v>1.19</v>
      </c>
      <c r="X6">
        <v>95.25</v>
      </c>
      <c r="Y6">
        <v>1.3</v>
      </c>
      <c r="Z6">
        <v>95.13</v>
      </c>
      <c r="AA6">
        <v>1.1200000000000001</v>
      </c>
      <c r="AB6">
        <v>90.19</v>
      </c>
      <c r="AC6">
        <v>1.69</v>
      </c>
      <c r="AD6">
        <v>29.91</v>
      </c>
      <c r="AE6">
        <v>2.85</v>
      </c>
      <c r="AF6">
        <v>16.36</v>
      </c>
      <c r="AG6">
        <v>2.09</v>
      </c>
      <c r="AH6">
        <v>27.68</v>
      </c>
      <c r="AI6">
        <v>2.86</v>
      </c>
      <c r="AJ6">
        <v>95.35</v>
      </c>
      <c r="AK6">
        <v>1.19</v>
      </c>
      <c r="AL6">
        <v>95.25</v>
      </c>
      <c r="AM6">
        <v>1.3</v>
      </c>
      <c r="AN6">
        <v>95.13</v>
      </c>
      <c r="AO6">
        <v>1.1200000000000001</v>
      </c>
      <c r="AP6">
        <v>90.19</v>
      </c>
      <c r="AQ6">
        <v>1.69</v>
      </c>
      <c r="AR6">
        <v>64.56</v>
      </c>
      <c r="AS6">
        <v>64.56</v>
      </c>
      <c r="AT6">
        <v>64.56</v>
      </c>
      <c r="AU6" s="2" t="str">
        <f t="shared" si="0"/>
        <v>30(0)</v>
      </c>
      <c r="AV6" s="2" t="str">
        <f t="shared" si="1"/>
        <v>16(0)</v>
      </c>
      <c r="AW6" s="2" t="str">
        <f t="shared" si="2"/>
        <v>65(0)</v>
      </c>
      <c r="AX6" s="2" t="str">
        <f t="shared" si="3"/>
        <v>95(0)</v>
      </c>
      <c r="AY6" s="2" t="str">
        <f t="shared" si="4"/>
        <v>28(0)</v>
      </c>
      <c r="AZ6" s="2" t="str">
        <f t="shared" si="5"/>
        <v>95(0)</v>
      </c>
      <c r="BA6" s="2" t="str">
        <f t="shared" si="6"/>
        <v>95(0)</v>
      </c>
      <c r="BB6" s="2" t="str">
        <f t="shared" si="7"/>
        <v>90(0)</v>
      </c>
      <c r="BC6" s="2" t="str">
        <f t="shared" si="8"/>
        <v>30(0)</v>
      </c>
      <c r="BD6" s="2" t="str">
        <f t="shared" si="9"/>
        <v>16(0)</v>
      </c>
      <c r="BE6" s="2" t="str">
        <f t="shared" si="10"/>
        <v>65(0)</v>
      </c>
      <c r="BF6" s="2" t="str">
        <f t="shared" si="11"/>
        <v>95(0)</v>
      </c>
      <c r="BG6" s="2" t="str">
        <f t="shared" si="12"/>
        <v>28(0)</v>
      </c>
      <c r="BH6" s="2" t="str">
        <f t="shared" si="13"/>
        <v>95(0)</v>
      </c>
      <c r="BI6" s="2" t="str">
        <f t="shared" si="14"/>
        <v>95(0)</v>
      </c>
      <c r="BJ6" s="2" t="str">
        <f t="shared" si="15"/>
        <v>90(0)</v>
      </c>
    </row>
    <row r="7" spans="1:62" x14ac:dyDescent="0.35">
      <c r="A7" s="1" t="s">
        <v>59</v>
      </c>
      <c r="B7">
        <v>18.559999999999999</v>
      </c>
      <c r="C7">
        <v>0.91</v>
      </c>
      <c r="D7">
        <v>27.19</v>
      </c>
      <c r="E7">
        <v>1.0900000000000001</v>
      </c>
      <c r="F7">
        <v>9.01</v>
      </c>
      <c r="G7">
        <v>0.65</v>
      </c>
      <c r="H7">
        <v>86.31</v>
      </c>
      <c r="I7">
        <v>0.82</v>
      </c>
      <c r="J7">
        <v>92.57</v>
      </c>
      <c r="K7">
        <v>0.62</v>
      </c>
      <c r="L7">
        <v>97.37</v>
      </c>
      <c r="M7">
        <v>0.35</v>
      </c>
      <c r="N7">
        <v>80.459999999999994</v>
      </c>
      <c r="O7">
        <v>0.94</v>
      </c>
      <c r="P7">
        <v>15.97</v>
      </c>
      <c r="Q7">
        <v>0.86</v>
      </c>
      <c r="R7">
        <v>25.28</v>
      </c>
      <c r="S7">
        <v>1.07</v>
      </c>
      <c r="T7">
        <v>7.15</v>
      </c>
      <c r="U7">
        <v>0.59</v>
      </c>
      <c r="V7">
        <v>76.819999999999993</v>
      </c>
      <c r="W7">
        <v>0.99</v>
      </c>
      <c r="X7">
        <v>85.47</v>
      </c>
      <c r="Y7">
        <v>0.84</v>
      </c>
      <c r="Z7">
        <v>95.58</v>
      </c>
      <c r="AA7">
        <v>0.44</v>
      </c>
      <c r="AB7">
        <v>71.209999999999994</v>
      </c>
      <c r="AC7">
        <v>1.08</v>
      </c>
      <c r="AD7">
        <v>8.8800000000000008</v>
      </c>
      <c r="AE7">
        <v>0.68</v>
      </c>
      <c r="AF7">
        <v>15.38</v>
      </c>
      <c r="AG7">
        <v>0.91</v>
      </c>
      <c r="AH7">
        <v>5.25</v>
      </c>
      <c r="AI7">
        <v>0.5</v>
      </c>
      <c r="AJ7">
        <v>48.62</v>
      </c>
      <c r="AK7">
        <v>1.21</v>
      </c>
      <c r="AL7">
        <v>65.05</v>
      </c>
      <c r="AM7">
        <v>1.1299999999999999</v>
      </c>
      <c r="AN7">
        <v>88.94</v>
      </c>
      <c r="AO7">
        <v>0.67</v>
      </c>
      <c r="AP7">
        <v>44.57</v>
      </c>
      <c r="AQ7">
        <v>1.2</v>
      </c>
      <c r="AR7">
        <v>56.37</v>
      </c>
      <c r="AS7">
        <v>45.99</v>
      </c>
      <c r="AT7">
        <v>39.57</v>
      </c>
      <c r="AU7" s="2" t="str">
        <f t="shared" si="0"/>
        <v>19(14)</v>
      </c>
      <c r="AV7" s="2" t="str">
        <f t="shared" si="1"/>
        <v>27(7)</v>
      </c>
      <c r="AW7" s="2" t="str">
        <f t="shared" si="2"/>
        <v>56(18)</v>
      </c>
      <c r="AX7" s="2" t="str">
        <f t="shared" si="3"/>
        <v>97(2)</v>
      </c>
      <c r="AY7" s="2" t="str">
        <f t="shared" si="4"/>
        <v>9(21)</v>
      </c>
      <c r="AZ7" s="2" t="str">
        <f t="shared" si="5"/>
        <v>86(11)</v>
      </c>
      <c r="BA7" s="2" t="str">
        <f t="shared" si="6"/>
        <v>93(8)</v>
      </c>
      <c r="BB7" s="2" t="str">
        <f t="shared" si="7"/>
        <v>80(11)</v>
      </c>
      <c r="BC7" s="2" t="str">
        <f t="shared" si="8"/>
        <v>19(52)</v>
      </c>
      <c r="BD7" s="2" t="str">
        <f t="shared" si="9"/>
        <v>27(43.4)</v>
      </c>
      <c r="BE7" s="2" t="str">
        <f t="shared" si="10"/>
        <v>56(30)</v>
      </c>
      <c r="BF7" s="2" t="str">
        <f t="shared" si="11"/>
        <v>97(9)</v>
      </c>
      <c r="BG7" s="2" t="str">
        <f t="shared" si="12"/>
        <v>9(42)</v>
      </c>
      <c r="BH7" s="2" t="str">
        <f t="shared" si="13"/>
        <v>86(44)</v>
      </c>
      <c r="BI7" s="2" t="str">
        <f t="shared" si="14"/>
        <v>93(30)</v>
      </c>
      <c r="BJ7" s="2" t="str">
        <f t="shared" si="15"/>
        <v>80(45)</v>
      </c>
    </row>
    <row r="8" spans="1:62" x14ac:dyDescent="0.35">
      <c r="A8" s="1" t="s">
        <v>60</v>
      </c>
      <c r="B8">
        <v>36.14</v>
      </c>
      <c r="C8">
        <v>0.74</v>
      </c>
      <c r="D8">
        <v>29.94</v>
      </c>
      <c r="E8">
        <v>0.72</v>
      </c>
      <c r="F8">
        <v>11.81</v>
      </c>
      <c r="G8">
        <v>0.5</v>
      </c>
      <c r="H8">
        <v>93.84</v>
      </c>
      <c r="I8">
        <v>0.37</v>
      </c>
      <c r="J8">
        <v>91.19</v>
      </c>
      <c r="K8">
        <v>0.42</v>
      </c>
      <c r="L8">
        <v>94.76</v>
      </c>
      <c r="M8">
        <v>0.33</v>
      </c>
      <c r="N8">
        <v>77.260000000000005</v>
      </c>
      <c r="O8">
        <v>0.65</v>
      </c>
      <c r="P8">
        <v>36.14</v>
      </c>
      <c r="Q8">
        <v>0.74</v>
      </c>
      <c r="R8">
        <v>29.94</v>
      </c>
      <c r="S8">
        <v>0.72</v>
      </c>
      <c r="T8">
        <v>11.81</v>
      </c>
      <c r="U8">
        <v>0.5</v>
      </c>
      <c r="V8">
        <v>93.8</v>
      </c>
      <c r="W8">
        <v>0.37</v>
      </c>
      <c r="X8">
        <v>91.15</v>
      </c>
      <c r="Y8">
        <v>0.42</v>
      </c>
      <c r="Z8">
        <v>94.76</v>
      </c>
      <c r="AA8">
        <v>0.33</v>
      </c>
      <c r="AB8">
        <v>77.25</v>
      </c>
      <c r="AC8">
        <v>0.65</v>
      </c>
      <c r="AD8">
        <v>36.119999999999997</v>
      </c>
      <c r="AE8">
        <v>0.74</v>
      </c>
      <c r="AF8">
        <v>29.93</v>
      </c>
      <c r="AG8">
        <v>0.72</v>
      </c>
      <c r="AH8">
        <v>11.81</v>
      </c>
      <c r="AI8">
        <v>0.5</v>
      </c>
      <c r="AJ8">
        <v>93.65</v>
      </c>
      <c r="AK8">
        <v>0.37</v>
      </c>
      <c r="AL8">
        <v>91.04</v>
      </c>
      <c r="AM8">
        <v>0.42</v>
      </c>
      <c r="AN8">
        <v>94.73</v>
      </c>
      <c r="AO8">
        <v>0.33</v>
      </c>
      <c r="AP8">
        <v>77.09</v>
      </c>
      <c r="AQ8">
        <v>0.65</v>
      </c>
      <c r="AR8">
        <v>54.88</v>
      </c>
      <c r="AS8">
        <v>54.83</v>
      </c>
      <c r="AT8">
        <v>54.78</v>
      </c>
      <c r="AU8" s="2" t="str">
        <f t="shared" si="0"/>
        <v>36(0)</v>
      </c>
      <c r="AV8" s="2" t="str">
        <f t="shared" si="1"/>
        <v>30(0)</v>
      </c>
      <c r="AW8" s="2" t="str">
        <f t="shared" si="2"/>
        <v>55(0)</v>
      </c>
      <c r="AX8" s="2" t="str">
        <f t="shared" si="3"/>
        <v>95(0)</v>
      </c>
      <c r="AY8" s="2" t="str">
        <f t="shared" si="4"/>
        <v>12(0)</v>
      </c>
      <c r="AZ8" s="2" t="str">
        <f t="shared" si="5"/>
        <v>94(0)</v>
      </c>
      <c r="BA8" s="2" t="str">
        <f t="shared" si="6"/>
        <v>91(0)</v>
      </c>
      <c r="BB8" s="2" t="str">
        <f t="shared" si="7"/>
        <v>77(0)</v>
      </c>
      <c r="BC8" s="2" t="str">
        <f t="shared" si="8"/>
        <v>36(0)</v>
      </c>
      <c r="BD8" s="2" t="str">
        <f t="shared" si="9"/>
        <v>30(0)</v>
      </c>
      <c r="BE8" s="2" t="str">
        <f t="shared" si="10"/>
        <v>55(0)</v>
      </c>
      <c r="BF8" s="2" t="str">
        <f t="shared" si="11"/>
        <v>95(0)</v>
      </c>
      <c r="BG8" s="2" t="str">
        <f t="shared" si="12"/>
        <v>12(0)</v>
      </c>
      <c r="BH8" s="2" t="str">
        <f t="shared" si="13"/>
        <v>94(0)</v>
      </c>
      <c r="BI8" s="2" t="str">
        <f t="shared" si="14"/>
        <v>91(0)</v>
      </c>
      <c r="BJ8" s="2" t="str">
        <f t="shared" si="15"/>
        <v>77(0)</v>
      </c>
    </row>
    <row r="9" spans="1:62" x14ac:dyDescent="0.35">
      <c r="A9" s="1" t="s">
        <v>61</v>
      </c>
      <c r="B9">
        <v>30.44</v>
      </c>
      <c r="C9">
        <v>1.06</v>
      </c>
      <c r="D9">
        <v>14.92</v>
      </c>
      <c r="E9">
        <v>0.79</v>
      </c>
      <c r="F9">
        <v>12.19</v>
      </c>
      <c r="G9">
        <v>0.72</v>
      </c>
      <c r="H9">
        <v>95.62</v>
      </c>
      <c r="I9">
        <v>0.44</v>
      </c>
      <c r="J9">
        <v>94.37</v>
      </c>
      <c r="K9">
        <v>0.48</v>
      </c>
      <c r="L9">
        <v>96.1</v>
      </c>
      <c r="M9">
        <v>0.45</v>
      </c>
      <c r="N9">
        <v>91.41</v>
      </c>
      <c r="O9">
        <v>0.64</v>
      </c>
      <c r="P9">
        <v>29.76</v>
      </c>
      <c r="Q9">
        <v>1.06</v>
      </c>
      <c r="R9">
        <v>14.64</v>
      </c>
      <c r="S9">
        <v>0.78</v>
      </c>
      <c r="T9">
        <v>11.47</v>
      </c>
      <c r="U9">
        <v>0.7</v>
      </c>
      <c r="V9">
        <v>94.2</v>
      </c>
      <c r="W9">
        <v>0.52</v>
      </c>
      <c r="X9">
        <v>93.12</v>
      </c>
      <c r="Y9">
        <v>0.55000000000000004</v>
      </c>
      <c r="Z9">
        <v>95.46</v>
      </c>
      <c r="AA9">
        <v>0.48</v>
      </c>
      <c r="AB9">
        <v>90.07</v>
      </c>
      <c r="AC9">
        <v>0.68</v>
      </c>
      <c r="AD9">
        <v>26.56</v>
      </c>
      <c r="AE9">
        <v>1.01</v>
      </c>
      <c r="AF9">
        <v>13.1</v>
      </c>
      <c r="AG9">
        <v>0.75</v>
      </c>
      <c r="AH9">
        <v>10.87</v>
      </c>
      <c r="AI9">
        <v>0.68</v>
      </c>
      <c r="AJ9">
        <v>87.44</v>
      </c>
      <c r="AK9">
        <v>0.73</v>
      </c>
      <c r="AL9">
        <v>89.48</v>
      </c>
      <c r="AM9">
        <v>0.67</v>
      </c>
      <c r="AN9">
        <v>94.11</v>
      </c>
      <c r="AO9">
        <v>0.55000000000000004</v>
      </c>
      <c r="AP9">
        <v>83.3</v>
      </c>
      <c r="AQ9">
        <v>0.84</v>
      </c>
      <c r="AR9">
        <v>66.31</v>
      </c>
      <c r="AS9">
        <v>63.73</v>
      </c>
      <c r="AT9">
        <v>61.68</v>
      </c>
      <c r="AU9" s="2" t="str">
        <f t="shared" si="0"/>
        <v>30(2)</v>
      </c>
      <c r="AV9" s="2" t="str">
        <f t="shared" si="1"/>
        <v>15(2)</v>
      </c>
      <c r="AW9" s="2" t="str">
        <f t="shared" si="2"/>
        <v>66(4)</v>
      </c>
      <c r="AX9" s="2" t="str">
        <f t="shared" si="3"/>
        <v>96(1)</v>
      </c>
      <c r="AY9" s="2" t="str">
        <f t="shared" si="4"/>
        <v>12(6)</v>
      </c>
      <c r="AZ9" s="2" t="str">
        <f t="shared" si="5"/>
        <v>96(1)</v>
      </c>
      <c r="BA9" s="2" t="str">
        <f t="shared" si="6"/>
        <v>94(1)</v>
      </c>
      <c r="BB9" s="2" t="str">
        <f t="shared" si="7"/>
        <v>91(1)</v>
      </c>
      <c r="BC9" s="2" t="str">
        <f t="shared" si="8"/>
        <v>30(13)</v>
      </c>
      <c r="BD9" s="2" t="str">
        <f t="shared" si="9"/>
        <v>15(12.2)</v>
      </c>
      <c r="BE9" s="2" t="str">
        <f t="shared" si="10"/>
        <v>66(7)</v>
      </c>
      <c r="BF9" s="2" t="str">
        <f t="shared" si="11"/>
        <v>96(2)</v>
      </c>
      <c r="BG9" s="2" t="str">
        <f t="shared" si="12"/>
        <v>12(11)</v>
      </c>
      <c r="BH9" s="2" t="str">
        <f t="shared" si="13"/>
        <v>96(9)</v>
      </c>
      <c r="BI9" s="2" t="str">
        <f t="shared" si="14"/>
        <v>94(5)</v>
      </c>
      <c r="BJ9" s="2" t="str">
        <f t="shared" si="15"/>
        <v>91(9)</v>
      </c>
    </row>
    <row r="10" spans="1:62" x14ac:dyDescent="0.35">
      <c r="A10" s="1" t="s">
        <v>62</v>
      </c>
      <c r="B10">
        <v>44.67</v>
      </c>
      <c r="C10">
        <v>0.67</v>
      </c>
      <c r="D10">
        <v>39.17</v>
      </c>
      <c r="E10">
        <v>0.7</v>
      </c>
      <c r="F10">
        <v>17.47</v>
      </c>
      <c r="G10">
        <v>0.79</v>
      </c>
      <c r="H10">
        <v>92.19</v>
      </c>
      <c r="I10">
        <v>0.26</v>
      </c>
      <c r="J10">
        <v>91.89</v>
      </c>
      <c r="K10">
        <v>0.27</v>
      </c>
      <c r="L10">
        <v>98.82</v>
      </c>
      <c r="M10">
        <v>0.1</v>
      </c>
      <c r="N10">
        <v>58.25</v>
      </c>
      <c r="O10">
        <v>0.59</v>
      </c>
      <c r="P10">
        <v>44.67</v>
      </c>
      <c r="Q10">
        <v>0.67</v>
      </c>
      <c r="R10">
        <v>39.17</v>
      </c>
      <c r="S10">
        <v>0.7</v>
      </c>
      <c r="T10">
        <v>17.47</v>
      </c>
      <c r="U10">
        <v>0.79</v>
      </c>
      <c r="V10">
        <v>92.19</v>
      </c>
      <c r="W10">
        <v>0.26</v>
      </c>
      <c r="X10">
        <v>91.88</v>
      </c>
      <c r="Y10">
        <v>0.27</v>
      </c>
      <c r="Z10">
        <v>98.82</v>
      </c>
      <c r="AA10">
        <v>0.1</v>
      </c>
      <c r="AB10">
        <v>58.25</v>
      </c>
      <c r="AC10">
        <v>0.59</v>
      </c>
      <c r="AD10">
        <v>44.67</v>
      </c>
      <c r="AE10">
        <v>0.67</v>
      </c>
      <c r="AF10">
        <v>39.159999999999997</v>
      </c>
      <c r="AG10">
        <v>0.7</v>
      </c>
      <c r="AH10">
        <v>17.47</v>
      </c>
      <c r="AI10">
        <v>0.79</v>
      </c>
      <c r="AJ10">
        <v>92.19</v>
      </c>
      <c r="AK10">
        <v>0.26</v>
      </c>
      <c r="AL10">
        <v>91.87</v>
      </c>
      <c r="AM10">
        <v>0.27</v>
      </c>
      <c r="AN10">
        <v>98.81</v>
      </c>
      <c r="AO10">
        <v>0.1</v>
      </c>
      <c r="AP10">
        <v>58.24</v>
      </c>
      <c r="AQ10">
        <v>0.59</v>
      </c>
      <c r="AR10">
        <v>43.09</v>
      </c>
      <c r="AS10">
        <v>43.08</v>
      </c>
      <c r="AT10">
        <v>43.08</v>
      </c>
      <c r="AU10" s="2" t="str">
        <f t="shared" si="0"/>
        <v>45(0)</v>
      </c>
      <c r="AV10" s="2" t="str">
        <f t="shared" si="1"/>
        <v>39(0)</v>
      </c>
      <c r="AW10" s="2" t="str">
        <f t="shared" si="2"/>
        <v>43(0)</v>
      </c>
      <c r="AX10" s="2" t="str">
        <f t="shared" si="3"/>
        <v>99(0)</v>
      </c>
      <c r="AY10" s="2" t="str">
        <f t="shared" si="4"/>
        <v>17(0)</v>
      </c>
      <c r="AZ10" s="2" t="str">
        <f t="shared" si="5"/>
        <v>92(0)</v>
      </c>
      <c r="BA10" s="2" t="str">
        <f t="shared" si="6"/>
        <v>92(0)</v>
      </c>
      <c r="BB10" s="2" t="str">
        <f t="shared" si="7"/>
        <v>58(0)</v>
      </c>
      <c r="BC10" s="2" t="str">
        <f t="shared" si="8"/>
        <v>45(0)</v>
      </c>
      <c r="BD10" s="2" t="str">
        <f t="shared" si="9"/>
        <v>39(0)</v>
      </c>
      <c r="BE10" s="2" t="str">
        <f t="shared" si="10"/>
        <v>43(0)</v>
      </c>
      <c r="BF10" s="2" t="str">
        <f t="shared" si="11"/>
        <v>99(0)</v>
      </c>
      <c r="BG10" s="2" t="str">
        <f t="shared" si="12"/>
        <v>17(0)</v>
      </c>
      <c r="BH10" s="2" t="str">
        <f t="shared" si="13"/>
        <v>92(0)</v>
      </c>
      <c r="BI10" s="2" t="str">
        <f t="shared" si="14"/>
        <v>92(0)</v>
      </c>
      <c r="BJ10" s="2" t="str">
        <f t="shared" si="15"/>
        <v>58(0)</v>
      </c>
    </row>
    <row r="11" spans="1:62" x14ac:dyDescent="0.35">
      <c r="A11" s="1" t="s">
        <v>63</v>
      </c>
      <c r="B11">
        <v>40.46</v>
      </c>
      <c r="C11">
        <v>0.31</v>
      </c>
      <c r="D11">
        <v>47.88</v>
      </c>
      <c r="E11">
        <v>0.32</v>
      </c>
      <c r="F11">
        <v>8.25</v>
      </c>
      <c r="G11">
        <v>0.17</v>
      </c>
      <c r="H11">
        <v>86.21</v>
      </c>
      <c r="I11">
        <v>0.22</v>
      </c>
      <c r="J11">
        <v>94.55</v>
      </c>
      <c r="K11">
        <v>0.15</v>
      </c>
      <c r="L11">
        <v>98.93</v>
      </c>
      <c r="M11">
        <v>7.0000000000000007E-2</v>
      </c>
      <c r="N11">
        <v>82.73</v>
      </c>
      <c r="O11">
        <v>0.25</v>
      </c>
      <c r="P11">
        <v>35.82</v>
      </c>
      <c r="Q11">
        <v>0.31</v>
      </c>
      <c r="R11">
        <v>45.57</v>
      </c>
      <c r="S11">
        <v>0.32</v>
      </c>
      <c r="T11">
        <v>5.27</v>
      </c>
      <c r="U11">
        <v>0.14000000000000001</v>
      </c>
      <c r="V11">
        <v>73.31</v>
      </c>
      <c r="W11">
        <v>0.28999999999999998</v>
      </c>
      <c r="X11">
        <v>87.44</v>
      </c>
      <c r="Y11">
        <v>0.21</v>
      </c>
      <c r="Z11">
        <v>97.95</v>
      </c>
      <c r="AA11">
        <v>0.09</v>
      </c>
      <c r="AB11">
        <v>71.28</v>
      </c>
      <c r="AC11">
        <v>0.28999999999999998</v>
      </c>
      <c r="AD11">
        <v>12.65</v>
      </c>
      <c r="AE11">
        <v>0.21</v>
      </c>
      <c r="AF11">
        <v>25</v>
      </c>
      <c r="AG11">
        <v>0.28000000000000003</v>
      </c>
      <c r="AH11">
        <v>2.97</v>
      </c>
      <c r="AI11">
        <v>0.11</v>
      </c>
      <c r="AJ11">
        <v>39.51</v>
      </c>
      <c r="AK11">
        <v>0.31</v>
      </c>
      <c r="AL11">
        <v>62.08</v>
      </c>
      <c r="AM11">
        <v>0.31</v>
      </c>
      <c r="AN11">
        <v>92.64</v>
      </c>
      <c r="AO11">
        <v>0.17</v>
      </c>
      <c r="AP11">
        <v>36.53</v>
      </c>
      <c r="AQ11">
        <v>0.3</v>
      </c>
      <c r="AR11">
        <v>61.24</v>
      </c>
      <c r="AS11">
        <v>46.99</v>
      </c>
      <c r="AT11">
        <v>37.659999999999997</v>
      </c>
      <c r="AU11" s="2" t="str">
        <f t="shared" si="0"/>
        <v>40(11)</v>
      </c>
      <c r="AV11" s="2" t="str">
        <f t="shared" si="1"/>
        <v>48(5)</v>
      </c>
      <c r="AW11" s="2" t="str">
        <f t="shared" si="2"/>
        <v>61(23)</v>
      </c>
      <c r="AX11" s="2" t="str">
        <f t="shared" si="3"/>
        <v>99(1)</v>
      </c>
      <c r="AY11" s="2" t="str">
        <f t="shared" si="4"/>
        <v>8(36)</v>
      </c>
      <c r="AZ11" s="2" t="str">
        <f t="shared" si="5"/>
        <v>86(15)</v>
      </c>
      <c r="BA11" s="2" t="str">
        <f t="shared" si="6"/>
        <v>95(8)</v>
      </c>
      <c r="BB11" s="2" t="str">
        <f t="shared" si="7"/>
        <v>83(14)</v>
      </c>
      <c r="BC11" s="2" t="str">
        <f t="shared" si="8"/>
        <v>40(69)</v>
      </c>
      <c r="BD11" s="2" t="str">
        <f t="shared" si="9"/>
        <v>48(47.8)</v>
      </c>
      <c r="BE11" s="2" t="str">
        <f t="shared" si="10"/>
        <v>61(39)</v>
      </c>
      <c r="BF11" s="2" t="str">
        <f t="shared" si="11"/>
        <v>99(6)</v>
      </c>
      <c r="BG11" s="2" t="str">
        <f t="shared" si="12"/>
        <v>8(64)</v>
      </c>
      <c r="BH11" s="2" t="str">
        <f t="shared" si="13"/>
        <v>86(54)</v>
      </c>
      <c r="BI11" s="2" t="str">
        <f t="shared" si="14"/>
        <v>95(34)</v>
      </c>
      <c r="BJ11" s="2" t="str">
        <f t="shared" si="15"/>
        <v>83(56)</v>
      </c>
    </row>
    <row r="12" spans="1:62" x14ac:dyDescent="0.35">
      <c r="A12">
        <v>10</v>
      </c>
      <c r="B12">
        <v>28.42</v>
      </c>
      <c r="C12">
        <v>1.1399999999999999</v>
      </c>
      <c r="D12">
        <v>31.75</v>
      </c>
      <c r="E12">
        <v>0.86</v>
      </c>
      <c r="F12">
        <v>10.119999999999999</v>
      </c>
      <c r="G12">
        <v>0.59</v>
      </c>
      <c r="H12">
        <v>66.959999999999994</v>
      </c>
      <c r="I12">
        <v>0.72</v>
      </c>
      <c r="J12">
        <v>86</v>
      </c>
      <c r="K12">
        <v>0.51</v>
      </c>
      <c r="L12">
        <v>99.04</v>
      </c>
      <c r="M12">
        <v>7.0000000000000007E-2</v>
      </c>
      <c r="N12">
        <v>71.010000000000005</v>
      </c>
      <c r="O12">
        <v>0.67</v>
      </c>
      <c r="P12">
        <v>23.89</v>
      </c>
      <c r="Q12">
        <v>1.1499999999999999</v>
      </c>
      <c r="R12">
        <v>27.75</v>
      </c>
      <c r="S12">
        <v>0.81</v>
      </c>
      <c r="T12">
        <v>5.87</v>
      </c>
      <c r="U12">
        <v>0.44</v>
      </c>
      <c r="V12">
        <v>48.46</v>
      </c>
      <c r="W12">
        <v>0.97</v>
      </c>
      <c r="X12">
        <v>67.430000000000007</v>
      </c>
      <c r="Y12">
        <v>0.72</v>
      </c>
      <c r="Z12">
        <v>96.74</v>
      </c>
      <c r="AA12">
        <v>0.15</v>
      </c>
      <c r="AB12">
        <v>54.09</v>
      </c>
      <c r="AC12">
        <v>0.9</v>
      </c>
      <c r="AD12">
        <v>9.5500000000000007</v>
      </c>
      <c r="AE12">
        <v>0.94</v>
      </c>
      <c r="AF12">
        <v>10.67</v>
      </c>
      <c r="AG12">
        <v>0.47</v>
      </c>
      <c r="AH12">
        <v>2.93</v>
      </c>
      <c r="AI12">
        <v>0.14000000000000001</v>
      </c>
      <c r="AJ12">
        <v>22.89</v>
      </c>
      <c r="AK12">
        <v>1.04</v>
      </c>
      <c r="AL12">
        <v>39.369999999999997</v>
      </c>
      <c r="AM12">
        <v>1.0900000000000001</v>
      </c>
      <c r="AN12">
        <v>81.03</v>
      </c>
      <c r="AO12">
        <v>0.45</v>
      </c>
      <c r="AP12">
        <v>26.14</v>
      </c>
      <c r="AQ12">
        <v>1.1599999999999999</v>
      </c>
      <c r="AR12">
        <v>53.89</v>
      </c>
      <c r="AS12">
        <v>35.44</v>
      </c>
      <c r="AT12">
        <v>26.44</v>
      </c>
      <c r="AU12" s="2" t="str">
        <f t="shared" si="0"/>
        <v>28(16)</v>
      </c>
      <c r="AV12" s="2" t="str">
        <f t="shared" si="1"/>
        <v>32(13)</v>
      </c>
      <c r="AW12" s="2" t="str">
        <f t="shared" si="2"/>
        <v>54(34)</v>
      </c>
      <c r="AX12" s="2" t="str">
        <f t="shared" si="3"/>
        <v>99(2)</v>
      </c>
      <c r="AY12" s="2" t="str">
        <f t="shared" si="4"/>
        <v>10(42)</v>
      </c>
      <c r="AZ12" s="2" t="str">
        <f t="shared" si="5"/>
        <v>67(28)</v>
      </c>
      <c r="BA12" s="2" t="str">
        <f t="shared" si="6"/>
        <v>86(22)</v>
      </c>
      <c r="BB12" s="2" t="str">
        <f t="shared" si="7"/>
        <v>71(24)</v>
      </c>
      <c r="BC12" s="2" t="str">
        <f t="shared" si="8"/>
        <v>28(66)</v>
      </c>
      <c r="BD12" s="2" t="str">
        <f t="shared" si="9"/>
        <v>32(66.4)</v>
      </c>
      <c r="BE12" s="2" t="str">
        <f t="shared" si="10"/>
        <v>54(51)</v>
      </c>
      <c r="BF12" s="2" t="str">
        <f t="shared" si="11"/>
        <v>99(18)</v>
      </c>
      <c r="BG12" s="2" t="str">
        <f t="shared" si="12"/>
        <v>10(71)</v>
      </c>
      <c r="BH12" s="2" t="str">
        <f t="shared" si="13"/>
        <v>67(66)</v>
      </c>
      <c r="BI12" s="2" t="str">
        <f t="shared" si="14"/>
        <v>86(54)</v>
      </c>
      <c r="BJ12" s="2" t="str">
        <f t="shared" si="15"/>
        <v>71(63)</v>
      </c>
    </row>
    <row r="13" spans="1:62" x14ac:dyDescent="0.35">
      <c r="A13">
        <v>11</v>
      </c>
      <c r="B13">
        <v>36.299999999999997</v>
      </c>
      <c r="C13">
        <v>1.0900000000000001</v>
      </c>
      <c r="D13">
        <v>8.0500000000000007</v>
      </c>
      <c r="E13">
        <v>0.59</v>
      </c>
      <c r="F13">
        <v>54.02</v>
      </c>
      <c r="G13">
        <v>1.1299999999999999</v>
      </c>
      <c r="H13">
        <v>89.75</v>
      </c>
      <c r="I13">
        <v>0.67</v>
      </c>
      <c r="J13">
        <v>94.21</v>
      </c>
      <c r="K13">
        <v>0.54</v>
      </c>
      <c r="L13">
        <v>98.01</v>
      </c>
      <c r="M13">
        <v>0.32</v>
      </c>
      <c r="N13">
        <v>95.76</v>
      </c>
      <c r="O13">
        <v>0.47</v>
      </c>
      <c r="P13">
        <v>31.43</v>
      </c>
      <c r="Q13">
        <v>1.05</v>
      </c>
      <c r="R13">
        <v>7.01</v>
      </c>
      <c r="S13">
        <v>0.56000000000000005</v>
      </c>
      <c r="T13">
        <v>33.909999999999997</v>
      </c>
      <c r="U13">
        <v>1.07</v>
      </c>
      <c r="V13">
        <v>73.81</v>
      </c>
      <c r="W13">
        <v>0.98</v>
      </c>
      <c r="X13">
        <v>85.49</v>
      </c>
      <c r="Y13">
        <v>0.8</v>
      </c>
      <c r="Z13">
        <v>94.74</v>
      </c>
      <c r="AA13">
        <v>0.5</v>
      </c>
      <c r="AB13">
        <v>89.84</v>
      </c>
      <c r="AC13">
        <v>0.69</v>
      </c>
      <c r="AD13">
        <v>12.32</v>
      </c>
      <c r="AE13">
        <v>0.75</v>
      </c>
      <c r="AF13">
        <v>3.67</v>
      </c>
      <c r="AG13">
        <v>0.41</v>
      </c>
      <c r="AH13">
        <v>19.47</v>
      </c>
      <c r="AI13">
        <v>0.9</v>
      </c>
      <c r="AJ13">
        <v>35.43</v>
      </c>
      <c r="AK13">
        <v>1.0900000000000001</v>
      </c>
      <c r="AL13">
        <v>44.14</v>
      </c>
      <c r="AM13">
        <v>1.1200000000000001</v>
      </c>
      <c r="AN13">
        <v>70.709999999999994</v>
      </c>
      <c r="AO13">
        <v>1.02</v>
      </c>
      <c r="AP13">
        <v>37.950000000000003</v>
      </c>
      <c r="AQ13">
        <v>1.1000000000000001</v>
      </c>
      <c r="AR13">
        <v>84.18</v>
      </c>
      <c r="AS13">
        <v>62.7</v>
      </c>
      <c r="AT13">
        <v>44.39</v>
      </c>
      <c r="AU13" s="2" t="str">
        <f t="shared" si="0"/>
        <v>36(13)</v>
      </c>
      <c r="AV13" s="2" t="str">
        <f t="shared" si="1"/>
        <v>8(13)</v>
      </c>
      <c r="AW13" s="2" t="str">
        <f t="shared" si="2"/>
        <v>84(26)</v>
      </c>
      <c r="AX13" s="2" t="str">
        <f t="shared" si="3"/>
        <v>98(3)</v>
      </c>
      <c r="AY13" s="2" t="str">
        <f t="shared" si="4"/>
        <v>54(37)</v>
      </c>
      <c r="AZ13" s="2" t="str">
        <f t="shared" si="5"/>
        <v>90(18)</v>
      </c>
      <c r="BA13" s="2" t="str">
        <f t="shared" si="6"/>
        <v>94(9)</v>
      </c>
      <c r="BB13" s="2" t="str">
        <f t="shared" si="7"/>
        <v>96(6)</v>
      </c>
      <c r="BC13" s="2" t="str">
        <f t="shared" si="8"/>
        <v>36(66)</v>
      </c>
      <c r="BD13" s="2" t="str">
        <f t="shared" si="9"/>
        <v>8(54.4)</v>
      </c>
      <c r="BE13" s="2" t="str">
        <f t="shared" si="10"/>
        <v>84(47)</v>
      </c>
      <c r="BF13" s="2" t="str">
        <f t="shared" si="11"/>
        <v>98(28)</v>
      </c>
      <c r="BG13" s="2" t="str">
        <f t="shared" si="12"/>
        <v>54(64)</v>
      </c>
      <c r="BH13" s="2" t="str">
        <f t="shared" si="13"/>
        <v>90(61)</v>
      </c>
      <c r="BI13" s="2" t="str">
        <f t="shared" si="14"/>
        <v>94(53)</v>
      </c>
      <c r="BJ13" s="2" t="str">
        <f t="shared" si="15"/>
        <v>96(60)</v>
      </c>
    </row>
    <row r="14" spans="1:62" x14ac:dyDescent="0.35">
      <c r="A14">
        <v>12</v>
      </c>
      <c r="B14">
        <v>52.62</v>
      </c>
      <c r="C14">
        <v>0.89</v>
      </c>
      <c r="D14">
        <v>64.02</v>
      </c>
      <c r="E14">
        <v>0.86</v>
      </c>
      <c r="F14">
        <v>88.91</v>
      </c>
      <c r="G14">
        <v>0.56999999999999995</v>
      </c>
      <c r="H14">
        <v>90.09</v>
      </c>
      <c r="I14">
        <v>0.54</v>
      </c>
      <c r="J14">
        <v>96.55</v>
      </c>
      <c r="K14">
        <v>0.34</v>
      </c>
      <c r="L14">
        <v>98.58</v>
      </c>
      <c r="M14">
        <v>0.21</v>
      </c>
      <c r="N14">
        <v>97.79</v>
      </c>
      <c r="O14">
        <v>0.27</v>
      </c>
      <c r="P14">
        <v>48.65</v>
      </c>
      <c r="Q14">
        <v>0.89</v>
      </c>
      <c r="R14">
        <v>60.12</v>
      </c>
      <c r="S14">
        <v>0.88</v>
      </c>
      <c r="T14">
        <v>73.64</v>
      </c>
      <c r="U14">
        <v>0.79</v>
      </c>
      <c r="V14">
        <v>74.47</v>
      </c>
      <c r="W14">
        <v>0.79</v>
      </c>
      <c r="X14">
        <v>89.34</v>
      </c>
      <c r="Y14">
        <v>0.56000000000000005</v>
      </c>
      <c r="Z14">
        <v>92.48</v>
      </c>
      <c r="AA14">
        <v>0.47</v>
      </c>
      <c r="AB14">
        <v>93.72</v>
      </c>
      <c r="AC14">
        <v>0.44</v>
      </c>
      <c r="AD14">
        <v>22.74</v>
      </c>
      <c r="AE14">
        <v>0.74</v>
      </c>
      <c r="AF14">
        <v>29.53</v>
      </c>
      <c r="AG14">
        <v>0.81</v>
      </c>
      <c r="AH14">
        <v>40.07</v>
      </c>
      <c r="AI14">
        <v>0.87</v>
      </c>
      <c r="AJ14">
        <v>40.56</v>
      </c>
      <c r="AK14">
        <v>0.87</v>
      </c>
      <c r="AL14">
        <v>57.77</v>
      </c>
      <c r="AM14">
        <v>0.89</v>
      </c>
      <c r="AN14">
        <v>72.23</v>
      </c>
      <c r="AO14">
        <v>0.81</v>
      </c>
      <c r="AP14">
        <v>47.93</v>
      </c>
      <c r="AQ14">
        <v>0.89</v>
      </c>
      <c r="AR14">
        <v>92.11</v>
      </c>
      <c r="AS14">
        <v>74.81</v>
      </c>
      <c r="AT14">
        <v>58.04</v>
      </c>
      <c r="AU14" s="2" t="str">
        <f t="shared" si="0"/>
        <v>53(8)</v>
      </c>
      <c r="AV14" s="2" t="str">
        <f t="shared" si="1"/>
        <v>64(6)</v>
      </c>
      <c r="AW14" s="2" t="str">
        <f t="shared" si="2"/>
        <v>92(19)</v>
      </c>
      <c r="AX14" s="2" t="str">
        <f t="shared" si="3"/>
        <v>99(6)</v>
      </c>
      <c r="AY14" s="2" t="str">
        <f t="shared" si="4"/>
        <v>89(17)</v>
      </c>
      <c r="AZ14" s="2" t="str">
        <f t="shared" si="5"/>
        <v>90(17)</v>
      </c>
      <c r="BA14" s="2" t="str">
        <f t="shared" si="6"/>
        <v>97(7)</v>
      </c>
      <c r="BB14" s="2" t="str">
        <f t="shared" si="7"/>
        <v>98(4)</v>
      </c>
      <c r="BC14" s="2" t="str">
        <f t="shared" si="8"/>
        <v>53(57)</v>
      </c>
      <c r="BD14" s="2" t="str">
        <f t="shared" si="9"/>
        <v>64(53.9)</v>
      </c>
      <c r="BE14" s="2" t="str">
        <f t="shared" si="10"/>
        <v>92(37)</v>
      </c>
      <c r="BF14" s="2" t="str">
        <f t="shared" si="11"/>
        <v>99(27)</v>
      </c>
      <c r="BG14" s="2" t="str">
        <f t="shared" si="12"/>
        <v>89(55)</v>
      </c>
      <c r="BH14" s="2" t="str">
        <f t="shared" si="13"/>
        <v>90(55)</v>
      </c>
      <c r="BI14" s="2" t="str">
        <f t="shared" si="14"/>
        <v>97(40)</v>
      </c>
      <c r="BJ14" s="2" t="str">
        <f t="shared" si="15"/>
        <v>98(51)</v>
      </c>
    </row>
    <row r="15" spans="1:62" x14ac:dyDescent="0.35">
      <c r="A15">
        <v>13</v>
      </c>
      <c r="B15">
        <v>52.98</v>
      </c>
      <c r="C15">
        <v>0.99</v>
      </c>
      <c r="D15">
        <v>65.959999999999994</v>
      </c>
      <c r="E15">
        <v>0.93</v>
      </c>
      <c r="F15">
        <v>92.52</v>
      </c>
      <c r="G15">
        <v>0.52</v>
      </c>
      <c r="H15">
        <v>83.18</v>
      </c>
      <c r="I15">
        <v>0.74</v>
      </c>
      <c r="J15">
        <v>97.73</v>
      </c>
      <c r="K15">
        <v>0.28999999999999998</v>
      </c>
      <c r="L15">
        <v>97.89</v>
      </c>
      <c r="M15">
        <v>0.3</v>
      </c>
      <c r="N15">
        <v>99.61</v>
      </c>
      <c r="O15">
        <v>0.12</v>
      </c>
      <c r="P15">
        <v>50.04</v>
      </c>
      <c r="Q15">
        <v>0.99</v>
      </c>
      <c r="R15">
        <v>61.62</v>
      </c>
      <c r="S15">
        <v>0.96</v>
      </c>
      <c r="T15">
        <v>73.67</v>
      </c>
      <c r="U15">
        <v>0.89</v>
      </c>
      <c r="V15">
        <v>62.6</v>
      </c>
      <c r="W15">
        <v>0.96</v>
      </c>
      <c r="X15">
        <v>87.53</v>
      </c>
      <c r="Y15">
        <v>0.66</v>
      </c>
      <c r="Z15">
        <v>91.34</v>
      </c>
      <c r="AA15">
        <v>0.57999999999999996</v>
      </c>
      <c r="AB15">
        <v>95.44</v>
      </c>
      <c r="AC15">
        <v>0.43</v>
      </c>
      <c r="AD15">
        <v>15.58</v>
      </c>
      <c r="AE15">
        <v>0.69</v>
      </c>
      <c r="AF15">
        <v>28.24</v>
      </c>
      <c r="AG15">
        <v>0.87</v>
      </c>
      <c r="AH15">
        <v>29.95</v>
      </c>
      <c r="AI15">
        <v>0.88</v>
      </c>
      <c r="AJ15">
        <v>27.06</v>
      </c>
      <c r="AK15">
        <v>0.86</v>
      </c>
      <c r="AL15">
        <v>49.5</v>
      </c>
      <c r="AM15">
        <v>0.99</v>
      </c>
      <c r="AN15">
        <v>69.44</v>
      </c>
      <c r="AO15">
        <v>0.92</v>
      </c>
      <c r="AP15">
        <v>39.659999999999997</v>
      </c>
      <c r="AQ15">
        <v>0.96</v>
      </c>
      <c r="AR15">
        <v>96.99</v>
      </c>
      <c r="AS15">
        <v>79.12</v>
      </c>
      <c r="AT15">
        <v>56.53</v>
      </c>
      <c r="AU15" s="2" t="str">
        <f t="shared" si="0"/>
        <v>53(6)</v>
      </c>
      <c r="AV15" s="2" t="str">
        <f t="shared" si="1"/>
        <v>66(7)</v>
      </c>
      <c r="AW15" s="2" t="str">
        <f t="shared" si="2"/>
        <v>97(18)</v>
      </c>
      <c r="AX15" s="2" t="str">
        <f t="shared" si="3"/>
        <v>98(7)</v>
      </c>
      <c r="AY15" s="2" t="str">
        <f t="shared" si="4"/>
        <v>93(20)</v>
      </c>
      <c r="AZ15" s="2" t="str">
        <f t="shared" si="5"/>
        <v>83(25)</v>
      </c>
      <c r="BA15" s="2" t="str">
        <f t="shared" si="6"/>
        <v>98(10)</v>
      </c>
      <c r="BB15" s="2" t="str">
        <f t="shared" si="7"/>
        <v>100(4)</v>
      </c>
      <c r="BC15" s="2" t="str">
        <f t="shared" si="8"/>
        <v>53(71)</v>
      </c>
      <c r="BD15" s="2" t="str">
        <f t="shared" si="9"/>
        <v>66(57.2)</v>
      </c>
      <c r="BE15" s="2" t="str">
        <f t="shared" si="10"/>
        <v>97(42)</v>
      </c>
      <c r="BF15" s="2" t="str">
        <f t="shared" si="11"/>
        <v>98(29)</v>
      </c>
      <c r="BG15" s="2" t="str">
        <f t="shared" si="12"/>
        <v>93(68)</v>
      </c>
      <c r="BH15" s="2" t="str">
        <f t="shared" si="13"/>
        <v>83(67)</v>
      </c>
      <c r="BI15" s="2" t="str">
        <f t="shared" si="14"/>
        <v>98(49)</v>
      </c>
      <c r="BJ15" s="2" t="str">
        <f t="shared" si="15"/>
        <v>100(60)</v>
      </c>
    </row>
    <row r="16" spans="1:62" x14ac:dyDescent="0.35">
      <c r="A16">
        <v>14</v>
      </c>
      <c r="B16">
        <v>51.46</v>
      </c>
      <c r="C16">
        <v>0.82</v>
      </c>
      <c r="D16">
        <v>75.16</v>
      </c>
      <c r="E16">
        <v>0.7</v>
      </c>
      <c r="F16">
        <v>97.07</v>
      </c>
      <c r="G16">
        <v>0.27</v>
      </c>
      <c r="H16">
        <v>92.66</v>
      </c>
      <c r="I16">
        <v>0.42</v>
      </c>
      <c r="J16">
        <v>99.76</v>
      </c>
      <c r="K16">
        <v>0.08</v>
      </c>
      <c r="L16">
        <v>99.24</v>
      </c>
      <c r="M16">
        <v>0.16</v>
      </c>
      <c r="N16">
        <v>99.94</v>
      </c>
      <c r="O16">
        <v>0.03</v>
      </c>
      <c r="P16">
        <v>48.15</v>
      </c>
      <c r="Q16">
        <v>0.82</v>
      </c>
      <c r="R16">
        <v>70.790000000000006</v>
      </c>
      <c r="S16">
        <v>0.74</v>
      </c>
      <c r="T16">
        <v>79.739999999999995</v>
      </c>
      <c r="U16">
        <v>0.66</v>
      </c>
      <c r="V16">
        <v>72.17</v>
      </c>
      <c r="W16">
        <v>0.73</v>
      </c>
      <c r="X16">
        <v>95.65</v>
      </c>
      <c r="Y16">
        <v>0.33</v>
      </c>
      <c r="Z16">
        <v>96.98</v>
      </c>
      <c r="AA16">
        <v>0.3</v>
      </c>
      <c r="AB16">
        <v>97.82</v>
      </c>
      <c r="AC16">
        <v>0.23</v>
      </c>
      <c r="AD16">
        <v>14.58</v>
      </c>
      <c r="AE16">
        <v>0.56999999999999995</v>
      </c>
      <c r="AF16">
        <v>28.33</v>
      </c>
      <c r="AG16">
        <v>0.74</v>
      </c>
      <c r="AH16">
        <v>29.63</v>
      </c>
      <c r="AI16">
        <v>0.74</v>
      </c>
      <c r="AJ16">
        <v>27.68</v>
      </c>
      <c r="AK16">
        <v>0.72</v>
      </c>
      <c r="AL16">
        <v>54.81</v>
      </c>
      <c r="AM16">
        <v>0.82</v>
      </c>
      <c r="AN16">
        <v>81.540000000000006</v>
      </c>
      <c r="AO16">
        <v>0.64</v>
      </c>
      <c r="AP16">
        <v>36.24</v>
      </c>
      <c r="AQ16">
        <v>0.78</v>
      </c>
      <c r="AR16">
        <v>97.83</v>
      </c>
      <c r="AS16">
        <v>79.41</v>
      </c>
      <c r="AT16">
        <v>54.98</v>
      </c>
      <c r="AU16" s="2" t="str">
        <f t="shared" si="0"/>
        <v>51(6)</v>
      </c>
      <c r="AV16" s="2" t="str">
        <f t="shared" si="1"/>
        <v>75(6)</v>
      </c>
      <c r="AW16" s="2" t="str">
        <f t="shared" si="2"/>
        <v>98(19)</v>
      </c>
      <c r="AX16" s="2" t="str">
        <f t="shared" si="3"/>
        <v>99(2)</v>
      </c>
      <c r="AY16" s="2" t="str">
        <f t="shared" si="4"/>
        <v>97(18)</v>
      </c>
      <c r="AZ16" s="2" t="str">
        <f t="shared" si="5"/>
        <v>93(22)</v>
      </c>
      <c r="BA16" s="2" t="str">
        <f t="shared" si="6"/>
        <v>100(4)</v>
      </c>
      <c r="BB16" s="2" t="str">
        <f t="shared" si="7"/>
        <v>100(2)</v>
      </c>
      <c r="BC16" s="2" t="str">
        <f t="shared" si="8"/>
        <v>51(72)</v>
      </c>
      <c r="BD16" s="2" t="str">
        <f t="shared" si="9"/>
        <v>75(62.3)</v>
      </c>
      <c r="BE16" s="2" t="str">
        <f t="shared" si="10"/>
        <v>98(44)</v>
      </c>
      <c r="BF16" s="2" t="str">
        <f t="shared" si="11"/>
        <v>99(18)</v>
      </c>
      <c r="BG16" s="2" t="str">
        <f t="shared" si="12"/>
        <v>97(69)</v>
      </c>
      <c r="BH16" s="2" t="str">
        <f t="shared" si="13"/>
        <v>93(70)</v>
      </c>
      <c r="BI16" s="2" t="str">
        <f t="shared" si="14"/>
        <v>100(45)</v>
      </c>
      <c r="BJ16" s="2" t="str">
        <f t="shared" si="15"/>
        <v>100(64)</v>
      </c>
    </row>
    <row r="17" spans="1:62" x14ac:dyDescent="0.35">
      <c r="A17">
        <v>15</v>
      </c>
      <c r="B17">
        <v>72.959999999999994</v>
      </c>
      <c r="C17">
        <v>0.81</v>
      </c>
      <c r="D17">
        <v>72.25</v>
      </c>
      <c r="E17">
        <v>0.81</v>
      </c>
      <c r="F17">
        <v>96.25</v>
      </c>
      <c r="G17">
        <v>0.34</v>
      </c>
      <c r="H17">
        <v>92.94</v>
      </c>
      <c r="I17">
        <v>0.46</v>
      </c>
      <c r="J17">
        <v>99.06</v>
      </c>
      <c r="K17">
        <v>0.17</v>
      </c>
      <c r="L17">
        <v>98.77</v>
      </c>
      <c r="M17">
        <v>0.19</v>
      </c>
      <c r="N17">
        <v>99.68</v>
      </c>
      <c r="O17">
        <v>0.08</v>
      </c>
      <c r="P17">
        <v>64.34</v>
      </c>
      <c r="Q17">
        <v>0.88</v>
      </c>
      <c r="R17">
        <v>62.63</v>
      </c>
      <c r="S17">
        <v>0.88</v>
      </c>
      <c r="T17">
        <v>53.68</v>
      </c>
      <c r="U17">
        <v>0.93</v>
      </c>
      <c r="V17">
        <v>49.85</v>
      </c>
      <c r="W17">
        <v>0.93</v>
      </c>
      <c r="X17">
        <v>80.58</v>
      </c>
      <c r="Y17">
        <v>0.73</v>
      </c>
      <c r="Z17">
        <v>80.56</v>
      </c>
      <c r="AA17">
        <v>0.73</v>
      </c>
      <c r="AB17">
        <v>91.36</v>
      </c>
      <c r="AC17">
        <v>0.5</v>
      </c>
      <c r="AD17">
        <v>4.1500000000000004</v>
      </c>
      <c r="AE17">
        <v>0.36</v>
      </c>
      <c r="AF17">
        <v>6.26</v>
      </c>
      <c r="AG17">
        <v>0.47</v>
      </c>
      <c r="AH17">
        <v>6.56</v>
      </c>
      <c r="AI17">
        <v>0.44</v>
      </c>
      <c r="AJ17">
        <v>6.04</v>
      </c>
      <c r="AK17">
        <v>0.42</v>
      </c>
      <c r="AL17">
        <v>12.66</v>
      </c>
      <c r="AM17">
        <v>0.61</v>
      </c>
      <c r="AN17">
        <v>20.78</v>
      </c>
      <c r="AO17">
        <v>0.74</v>
      </c>
      <c r="AP17">
        <v>8.6999999999999993</v>
      </c>
      <c r="AQ17">
        <v>0.51</v>
      </c>
      <c r="AR17">
        <v>95.62</v>
      </c>
      <c r="AS17">
        <v>50.4</v>
      </c>
      <c r="AT17">
        <v>19.329999999999998</v>
      </c>
      <c r="AU17" s="2" t="str">
        <f t="shared" si="0"/>
        <v>73(12)</v>
      </c>
      <c r="AV17" s="2" t="str">
        <f t="shared" si="1"/>
        <v>72(13)</v>
      </c>
      <c r="AW17" s="2" t="str">
        <f t="shared" si="2"/>
        <v>96(47)</v>
      </c>
      <c r="AX17" s="2" t="str">
        <f t="shared" si="3"/>
        <v>99(18)</v>
      </c>
      <c r="AY17" s="2" t="str">
        <f t="shared" si="4"/>
        <v>96(44)</v>
      </c>
      <c r="AZ17" s="2" t="str">
        <f t="shared" si="5"/>
        <v>93(46)</v>
      </c>
      <c r="BA17" s="2" t="str">
        <f t="shared" si="6"/>
        <v>99(19)</v>
      </c>
      <c r="BB17" s="2" t="str">
        <f t="shared" si="7"/>
        <v>100(8)</v>
      </c>
      <c r="BC17" s="2" t="str">
        <f t="shared" si="8"/>
        <v>73(94)</v>
      </c>
      <c r="BD17" s="2" t="str">
        <f t="shared" si="9"/>
        <v>72(91.3)</v>
      </c>
      <c r="BE17" s="2" t="str">
        <f t="shared" si="10"/>
        <v>96(80)</v>
      </c>
      <c r="BF17" s="2" t="str">
        <f t="shared" si="11"/>
        <v>99(79)</v>
      </c>
      <c r="BG17" s="2" t="str">
        <f t="shared" si="12"/>
        <v>96(93)</v>
      </c>
      <c r="BH17" s="2" t="str">
        <f t="shared" si="13"/>
        <v>93(94)</v>
      </c>
      <c r="BI17" s="2" t="str">
        <f t="shared" si="14"/>
        <v>99(87)</v>
      </c>
      <c r="BJ17" s="2" t="str">
        <f t="shared" si="15"/>
        <v>100(91)</v>
      </c>
    </row>
    <row r="18" spans="1:62" x14ac:dyDescent="0.35">
      <c r="A18">
        <v>16</v>
      </c>
      <c r="B18">
        <v>11.93</v>
      </c>
      <c r="C18">
        <v>0.52</v>
      </c>
      <c r="D18">
        <v>45.83</v>
      </c>
      <c r="E18">
        <v>0.76</v>
      </c>
      <c r="F18">
        <v>82.04</v>
      </c>
      <c r="G18">
        <v>0.57999999999999996</v>
      </c>
      <c r="H18">
        <v>80.73</v>
      </c>
      <c r="I18">
        <v>0.59</v>
      </c>
      <c r="J18">
        <v>96.43</v>
      </c>
      <c r="K18">
        <v>0.28000000000000003</v>
      </c>
      <c r="L18">
        <v>98.56</v>
      </c>
      <c r="M18">
        <v>0.17</v>
      </c>
      <c r="N18">
        <v>97.98</v>
      </c>
      <c r="O18">
        <v>0.21</v>
      </c>
      <c r="P18">
        <v>9.15</v>
      </c>
      <c r="Q18">
        <v>0.46</v>
      </c>
      <c r="R18">
        <v>38.54</v>
      </c>
      <c r="S18">
        <v>0.75</v>
      </c>
      <c r="T18">
        <v>39.21</v>
      </c>
      <c r="U18">
        <v>0.74</v>
      </c>
      <c r="V18">
        <v>37.4</v>
      </c>
      <c r="W18">
        <v>0.73</v>
      </c>
      <c r="X18">
        <v>70.52</v>
      </c>
      <c r="Y18">
        <v>0.69</v>
      </c>
      <c r="Z18">
        <v>88.91</v>
      </c>
      <c r="AA18">
        <v>0.46</v>
      </c>
      <c r="AB18">
        <v>81.040000000000006</v>
      </c>
      <c r="AC18">
        <v>0.6</v>
      </c>
      <c r="AD18">
        <v>1.39</v>
      </c>
      <c r="AE18">
        <v>0.17</v>
      </c>
      <c r="AF18">
        <v>4.33</v>
      </c>
      <c r="AG18">
        <v>0.28999999999999998</v>
      </c>
      <c r="AH18">
        <v>6.46</v>
      </c>
      <c r="AI18">
        <v>0.34</v>
      </c>
      <c r="AJ18">
        <v>6.81</v>
      </c>
      <c r="AK18">
        <v>0.35</v>
      </c>
      <c r="AL18">
        <v>12.76</v>
      </c>
      <c r="AM18">
        <v>0.48</v>
      </c>
      <c r="AN18">
        <v>47.53</v>
      </c>
      <c r="AO18">
        <v>0.76</v>
      </c>
      <c r="AP18">
        <v>8.0399999999999991</v>
      </c>
      <c r="AQ18">
        <v>0.38</v>
      </c>
      <c r="AR18">
        <v>83.68</v>
      </c>
      <c r="AS18">
        <v>42.02</v>
      </c>
      <c r="AT18">
        <v>20.57</v>
      </c>
      <c r="AU18" s="2" t="str">
        <f t="shared" si="0"/>
        <v>12(23)</v>
      </c>
      <c r="AV18" s="2" t="str">
        <f t="shared" si="1"/>
        <v>46(16)</v>
      </c>
      <c r="AW18" s="2" t="str">
        <f t="shared" si="2"/>
        <v>84(50)</v>
      </c>
      <c r="AX18" s="2" t="str">
        <f t="shared" si="3"/>
        <v>99(10)</v>
      </c>
      <c r="AY18" s="2" t="str">
        <f t="shared" si="4"/>
        <v>82(52)</v>
      </c>
      <c r="AZ18" s="2" t="str">
        <f t="shared" si="5"/>
        <v>81(54)</v>
      </c>
      <c r="BA18" s="2" t="str">
        <f t="shared" si="6"/>
        <v>96(27)</v>
      </c>
      <c r="BB18" s="2" t="str">
        <f t="shared" si="7"/>
        <v>98(17)</v>
      </c>
      <c r="BC18" s="2" t="str">
        <f t="shared" si="8"/>
        <v>12(88)</v>
      </c>
      <c r="BD18" s="2" t="str">
        <f t="shared" si="9"/>
        <v>46(90.6)</v>
      </c>
      <c r="BE18" s="2" t="str">
        <f t="shared" si="10"/>
        <v>84(75)</v>
      </c>
      <c r="BF18" s="2" t="str">
        <f t="shared" si="11"/>
        <v>99(52)</v>
      </c>
      <c r="BG18" s="2" t="str">
        <f t="shared" si="12"/>
        <v>82(92)</v>
      </c>
      <c r="BH18" s="2" t="str">
        <f t="shared" si="13"/>
        <v>81(92)</v>
      </c>
      <c r="BI18" s="2" t="str">
        <f t="shared" si="14"/>
        <v>96(87)</v>
      </c>
      <c r="BJ18" s="2" t="str">
        <f t="shared" si="15"/>
        <v>98(92)</v>
      </c>
    </row>
    <row r="19" spans="1:62" x14ac:dyDescent="0.35">
      <c r="A19">
        <v>17</v>
      </c>
      <c r="B19">
        <v>38.75</v>
      </c>
      <c r="C19">
        <v>0.98</v>
      </c>
      <c r="D19">
        <v>71.010000000000005</v>
      </c>
      <c r="E19">
        <v>0.9</v>
      </c>
      <c r="F19">
        <v>92.41</v>
      </c>
      <c r="G19">
        <v>0.54</v>
      </c>
      <c r="H19">
        <v>94.57</v>
      </c>
      <c r="I19">
        <v>0.48</v>
      </c>
      <c r="J19">
        <v>99.13</v>
      </c>
      <c r="K19">
        <v>0.19</v>
      </c>
      <c r="L19">
        <v>97.29</v>
      </c>
      <c r="M19">
        <v>0.33</v>
      </c>
      <c r="N19">
        <v>99.74</v>
      </c>
      <c r="O19">
        <v>0.09</v>
      </c>
      <c r="P19">
        <v>34.65</v>
      </c>
      <c r="Q19">
        <v>0.96</v>
      </c>
      <c r="R19">
        <v>67.05</v>
      </c>
      <c r="S19">
        <v>0.93</v>
      </c>
      <c r="T19">
        <v>74.87</v>
      </c>
      <c r="U19">
        <v>0.88</v>
      </c>
      <c r="V19">
        <v>75.760000000000005</v>
      </c>
      <c r="W19">
        <v>0.88</v>
      </c>
      <c r="X19">
        <v>92.28</v>
      </c>
      <c r="Y19">
        <v>0.56000000000000005</v>
      </c>
      <c r="Z19">
        <v>89.6</v>
      </c>
      <c r="AA19">
        <v>0.61</v>
      </c>
      <c r="AB19">
        <v>96.65</v>
      </c>
      <c r="AC19">
        <v>0.35</v>
      </c>
      <c r="AD19">
        <v>15.38</v>
      </c>
      <c r="AE19">
        <v>0.73</v>
      </c>
      <c r="AF19">
        <v>26.75</v>
      </c>
      <c r="AG19">
        <v>0.91</v>
      </c>
      <c r="AH19">
        <v>34.950000000000003</v>
      </c>
      <c r="AI19">
        <v>0.96</v>
      </c>
      <c r="AJ19">
        <v>35.57</v>
      </c>
      <c r="AK19">
        <v>0.96</v>
      </c>
      <c r="AL19">
        <v>53.26</v>
      </c>
      <c r="AM19">
        <v>1</v>
      </c>
      <c r="AN19">
        <v>61.02</v>
      </c>
      <c r="AO19">
        <v>0.98</v>
      </c>
      <c r="AP19">
        <v>40.92</v>
      </c>
      <c r="AQ19">
        <v>0.99</v>
      </c>
      <c r="AR19">
        <v>95.09</v>
      </c>
      <c r="AS19">
        <v>75.97</v>
      </c>
      <c r="AT19">
        <v>55.13</v>
      </c>
      <c r="AU19" s="2" t="str">
        <f t="shared" si="0"/>
        <v>39(11)</v>
      </c>
      <c r="AV19" s="2" t="str">
        <f t="shared" si="1"/>
        <v>71(6)</v>
      </c>
      <c r="AW19" s="2" t="str">
        <f t="shared" si="2"/>
        <v>95(20)</v>
      </c>
      <c r="AX19" s="2" t="str">
        <f t="shared" si="3"/>
        <v>97(8)</v>
      </c>
      <c r="AY19" s="2" t="str">
        <f t="shared" si="4"/>
        <v>92(19)</v>
      </c>
      <c r="AZ19" s="2" t="str">
        <f t="shared" si="5"/>
        <v>95(20)</v>
      </c>
      <c r="BA19" s="2" t="str">
        <f t="shared" si="6"/>
        <v>99(7)</v>
      </c>
      <c r="BB19" s="2" t="str">
        <f t="shared" si="7"/>
        <v>100(3)</v>
      </c>
      <c r="BC19" s="2" t="str">
        <f t="shared" si="8"/>
        <v>39(60)</v>
      </c>
      <c r="BD19" s="2" t="str">
        <f t="shared" si="9"/>
        <v>71(62.3)</v>
      </c>
      <c r="BE19" s="2" t="str">
        <f t="shared" si="10"/>
        <v>95(42)</v>
      </c>
      <c r="BF19" s="2" t="str">
        <f t="shared" si="11"/>
        <v>97(37)</v>
      </c>
      <c r="BG19" s="2" t="str">
        <f t="shared" si="12"/>
        <v>92(62)</v>
      </c>
      <c r="BH19" s="2" t="str">
        <f t="shared" si="13"/>
        <v>95(62)</v>
      </c>
      <c r="BI19" s="2" t="str">
        <f t="shared" si="14"/>
        <v>99(46)</v>
      </c>
      <c r="BJ19" s="2" t="str">
        <f t="shared" si="15"/>
        <v>100(59)</v>
      </c>
    </row>
    <row r="20" spans="1:62" x14ac:dyDescent="0.35">
      <c r="A20">
        <v>18</v>
      </c>
      <c r="B20">
        <v>31.22</v>
      </c>
      <c r="C20">
        <v>0.56000000000000005</v>
      </c>
      <c r="D20">
        <v>63.45</v>
      </c>
      <c r="E20">
        <v>0.57999999999999996</v>
      </c>
      <c r="F20">
        <v>91.89</v>
      </c>
      <c r="G20">
        <v>0.31</v>
      </c>
      <c r="H20">
        <v>94.2</v>
      </c>
      <c r="I20">
        <v>0.28000000000000003</v>
      </c>
      <c r="J20">
        <v>99.24</v>
      </c>
      <c r="K20">
        <v>0.09</v>
      </c>
      <c r="L20">
        <v>98.6</v>
      </c>
      <c r="M20">
        <v>0.15</v>
      </c>
      <c r="N20">
        <v>99.43</v>
      </c>
      <c r="O20">
        <v>7.0000000000000007E-2</v>
      </c>
      <c r="P20">
        <v>27.92</v>
      </c>
      <c r="Q20">
        <v>0.55000000000000004</v>
      </c>
      <c r="R20">
        <v>58.3</v>
      </c>
      <c r="S20">
        <v>0.6</v>
      </c>
      <c r="T20">
        <v>73.22</v>
      </c>
      <c r="U20">
        <v>0.54</v>
      </c>
      <c r="V20">
        <v>78.06</v>
      </c>
      <c r="W20">
        <v>0.51</v>
      </c>
      <c r="X20">
        <v>94.39</v>
      </c>
      <c r="Y20">
        <v>0.27</v>
      </c>
      <c r="Z20">
        <v>95.75</v>
      </c>
      <c r="AA20">
        <v>0.25</v>
      </c>
      <c r="AB20">
        <v>96.87</v>
      </c>
      <c r="AC20">
        <v>0.2</v>
      </c>
      <c r="AD20">
        <v>7.91</v>
      </c>
      <c r="AE20">
        <v>0.32</v>
      </c>
      <c r="AF20">
        <v>20.65</v>
      </c>
      <c r="AG20">
        <v>0.48</v>
      </c>
      <c r="AH20">
        <v>25.89</v>
      </c>
      <c r="AI20">
        <v>0.52</v>
      </c>
      <c r="AJ20">
        <v>27.37</v>
      </c>
      <c r="AK20">
        <v>0.53</v>
      </c>
      <c r="AL20">
        <v>51.61</v>
      </c>
      <c r="AM20">
        <v>0.61</v>
      </c>
      <c r="AN20">
        <v>78.59</v>
      </c>
      <c r="AO20">
        <v>0.51</v>
      </c>
      <c r="AP20">
        <v>34.1</v>
      </c>
      <c r="AQ20">
        <v>0.56999999999999995</v>
      </c>
      <c r="AR20">
        <v>92.7</v>
      </c>
      <c r="AS20">
        <v>71.459999999999994</v>
      </c>
      <c r="AT20">
        <v>49.56</v>
      </c>
      <c r="AU20" s="2" t="str">
        <f t="shared" si="0"/>
        <v>31(11)</v>
      </c>
      <c r="AV20" s="2" t="str">
        <f t="shared" si="1"/>
        <v>63(8)</v>
      </c>
      <c r="AW20" s="2" t="str">
        <f t="shared" si="2"/>
        <v>93(23)</v>
      </c>
      <c r="AX20" s="2" t="str">
        <f t="shared" si="3"/>
        <v>99(3)</v>
      </c>
      <c r="AY20" s="2" t="str">
        <f t="shared" si="4"/>
        <v>92(20)</v>
      </c>
      <c r="AZ20" s="2" t="str">
        <f t="shared" si="5"/>
        <v>94(17)</v>
      </c>
      <c r="BA20" s="2" t="str">
        <f t="shared" si="6"/>
        <v>99(5)</v>
      </c>
      <c r="BB20" s="2" t="str">
        <f t="shared" si="7"/>
        <v>99(3)</v>
      </c>
      <c r="BC20" s="2" t="str">
        <f t="shared" si="8"/>
        <v>31(75)</v>
      </c>
      <c r="BD20" s="2" t="str">
        <f t="shared" si="9"/>
        <v>63(67.5)</v>
      </c>
      <c r="BE20" s="2" t="str">
        <f t="shared" si="10"/>
        <v>93(47)</v>
      </c>
      <c r="BF20" s="2" t="str">
        <f t="shared" si="11"/>
        <v>99(20)</v>
      </c>
      <c r="BG20" s="2" t="str">
        <f t="shared" si="12"/>
        <v>92(72)</v>
      </c>
      <c r="BH20" s="2" t="str">
        <f t="shared" si="13"/>
        <v>94(71)</v>
      </c>
      <c r="BI20" s="2" t="str">
        <f t="shared" si="14"/>
        <v>99(48)</v>
      </c>
      <c r="BJ20" s="2" t="str">
        <f t="shared" si="15"/>
        <v>99(66)</v>
      </c>
    </row>
    <row r="21" spans="1:62" x14ac:dyDescent="0.35">
      <c r="A21">
        <v>19</v>
      </c>
      <c r="B21">
        <v>17.87</v>
      </c>
      <c r="C21">
        <v>0.31</v>
      </c>
      <c r="D21">
        <v>55.53</v>
      </c>
      <c r="E21">
        <v>0.4</v>
      </c>
      <c r="F21">
        <v>59.44</v>
      </c>
      <c r="G21">
        <v>0.4</v>
      </c>
      <c r="H21">
        <v>83.98</v>
      </c>
      <c r="I21">
        <v>0.3</v>
      </c>
      <c r="J21">
        <v>96.94</v>
      </c>
      <c r="K21">
        <v>0.14000000000000001</v>
      </c>
      <c r="L21">
        <v>98.3</v>
      </c>
      <c r="M21">
        <v>0.1</v>
      </c>
      <c r="N21">
        <v>96.14</v>
      </c>
      <c r="O21">
        <v>0.16</v>
      </c>
      <c r="P21">
        <v>15.21</v>
      </c>
      <c r="Q21">
        <v>0.3</v>
      </c>
      <c r="R21">
        <v>51.17</v>
      </c>
      <c r="S21">
        <v>0.4</v>
      </c>
      <c r="T21">
        <v>36.39</v>
      </c>
      <c r="U21">
        <v>0.39</v>
      </c>
      <c r="V21">
        <v>60.66</v>
      </c>
      <c r="W21">
        <v>0.4</v>
      </c>
      <c r="X21">
        <v>86.77</v>
      </c>
      <c r="Y21">
        <v>0.28000000000000003</v>
      </c>
      <c r="Z21">
        <v>93.74</v>
      </c>
      <c r="AA21">
        <v>0.2</v>
      </c>
      <c r="AB21">
        <v>85.16</v>
      </c>
      <c r="AC21">
        <v>0.28999999999999998</v>
      </c>
      <c r="AD21">
        <v>2.76</v>
      </c>
      <c r="AE21">
        <v>0.13</v>
      </c>
      <c r="AF21">
        <v>16.940000000000001</v>
      </c>
      <c r="AG21">
        <v>0.3</v>
      </c>
      <c r="AH21">
        <v>10.95</v>
      </c>
      <c r="AI21">
        <v>0.24</v>
      </c>
      <c r="AJ21">
        <v>17.010000000000002</v>
      </c>
      <c r="AK21">
        <v>0.28999999999999998</v>
      </c>
      <c r="AL21">
        <v>45.41</v>
      </c>
      <c r="AM21">
        <v>0.4</v>
      </c>
      <c r="AN21">
        <v>71.52</v>
      </c>
      <c r="AO21">
        <v>0.37</v>
      </c>
      <c r="AP21">
        <v>27.11</v>
      </c>
      <c r="AQ21">
        <v>0.35</v>
      </c>
      <c r="AR21">
        <v>79.11</v>
      </c>
      <c r="AS21">
        <v>53.7</v>
      </c>
      <c r="AT21">
        <v>36.520000000000003</v>
      </c>
      <c r="AU21" s="2" t="str">
        <f t="shared" si="0"/>
        <v>18(15)</v>
      </c>
      <c r="AV21" s="2" t="str">
        <f t="shared" si="1"/>
        <v>56(8)</v>
      </c>
      <c r="AW21" s="2" t="str">
        <f t="shared" si="2"/>
        <v>79(32)</v>
      </c>
      <c r="AX21" s="2" t="str">
        <f t="shared" si="3"/>
        <v>98(5)</v>
      </c>
      <c r="AY21" s="2" t="str">
        <f t="shared" si="4"/>
        <v>59(39)</v>
      </c>
      <c r="AZ21" s="2" t="str">
        <f t="shared" si="5"/>
        <v>84(28)</v>
      </c>
      <c r="BA21" s="2" t="str">
        <f t="shared" si="6"/>
        <v>97(10)</v>
      </c>
      <c r="BB21" s="2" t="str">
        <f t="shared" si="7"/>
        <v>96(11)</v>
      </c>
      <c r="BC21" s="2" t="str">
        <f t="shared" si="8"/>
        <v>18(85)</v>
      </c>
      <c r="BD21" s="2" t="str">
        <f t="shared" si="9"/>
        <v>56(69.5)</v>
      </c>
      <c r="BE21" s="2" t="str">
        <f t="shared" si="10"/>
        <v>79(54)</v>
      </c>
      <c r="BF21" s="2" t="str">
        <f t="shared" si="11"/>
        <v>98(27)</v>
      </c>
      <c r="BG21" s="2" t="str">
        <f t="shared" si="12"/>
        <v>59(82)</v>
      </c>
      <c r="BH21" s="2" t="str">
        <f t="shared" si="13"/>
        <v>84(80)</v>
      </c>
      <c r="BI21" s="2" t="str">
        <f t="shared" si="14"/>
        <v>97(53)</v>
      </c>
      <c r="BJ21" s="2" t="str">
        <f t="shared" si="15"/>
        <v>96(72)</v>
      </c>
    </row>
    <row r="22" spans="1:62" x14ac:dyDescent="0.35">
      <c r="A22">
        <v>20</v>
      </c>
      <c r="B22">
        <v>52.47</v>
      </c>
      <c r="C22">
        <v>0.72</v>
      </c>
      <c r="D22">
        <v>69.42</v>
      </c>
      <c r="E22">
        <v>0.64</v>
      </c>
      <c r="F22">
        <v>41.82</v>
      </c>
      <c r="G22">
        <v>0.72</v>
      </c>
      <c r="H22">
        <v>83.02</v>
      </c>
      <c r="I22">
        <v>0.53</v>
      </c>
      <c r="J22">
        <v>95.16</v>
      </c>
      <c r="K22">
        <v>0.28999999999999998</v>
      </c>
      <c r="L22">
        <v>99.4</v>
      </c>
      <c r="M22">
        <v>0.09</v>
      </c>
      <c r="N22">
        <v>89.15</v>
      </c>
      <c r="O22">
        <v>0.43</v>
      </c>
      <c r="P22">
        <v>47.11</v>
      </c>
      <c r="Q22">
        <v>0.72</v>
      </c>
      <c r="R22">
        <v>66.73</v>
      </c>
      <c r="S22">
        <v>0.66</v>
      </c>
      <c r="T22">
        <v>27.81</v>
      </c>
      <c r="U22">
        <v>0.66</v>
      </c>
      <c r="V22">
        <v>65.81</v>
      </c>
      <c r="W22">
        <v>0.68</v>
      </c>
      <c r="X22">
        <v>87</v>
      </c>
      <c r="Y22">
        <v>0.48</v>
      </c>
      <c r="Z22">
        <v>97.29</v>
      </c>
      <c r="AA22">
        <v>0.24</v>
      </c>
      <c r="AB22">
        <v>79.34</v>
      </c>
      <c r="AC22">
        <v>0.56999999999999995</v>
      </c>
      <c r="AD22">
        <v>12.61</v>
      </c>
      <c r="AE22">
        <v>0.46</v>
      </c>
      <c r="AF22">
        <v>35.29</v>
      </c>
      <c r="AG22">
        <v>0.69</v>
      </c>
      <c r="AH22">
        <v>10.47</v>
      </c>
      <c r="AI22">
        <v>0.44</v>
      </c>
      <c r="AJ22">
        <v>26.04</v>
      </c>
      <c r="AK22">
        <v>0.61</v>
      </c>
      <c r="AL22">
        <v>54.76</v>
      </c>
      <c r="AM22">
        <v>0.72</v>
      </c>
      <c r="AN22">
        <v>86.35</v>
      </c>
      <c r="AO22">
        <v>0.51</v>
      </c>
      <c r="AP22">
        <v>31.93</v>
      </c>
      <c r="AQ22">
        <v>0.66</v>
      </c>
      <c r="AR22">
        <v>73.400000000000006</v>
      </c>
      <c r="AS22">
        <v>53.83</v>
      </c>
      <c r="AT22">
        <v>39.880000000000003</v>
      </c>
      <c r="AU22" s="2" t="str">
        <f t="shared" si="0"/>
        <v>52(10)</v>
      </c>
      <c r="AV22" s="2" t="str">
        <f t="shared" si="1"/>
        <v>69(4)</v>
      </c>
      <c r="AW22" s="2" t="str">
        <f t="shared" si="2"/>
        <v>73(27)</v>
      </c>
      <c r="AX22" s="2" t="str">
        <f t="shared" si="3"/>
        <v>99(2)</v>
      </c>
      <c r="AY22" s="2" t="str">
        <f t="shared" si="4"/>
        <v>42(34)</v>
      </c>
      <c r="AZ22" s="2" t="str">
        <f t="shared" si="5"/>
        <v>83(21)</v>
      </c>
      <c r="BA22" s="2" t="str">
        <f t="shared" si="6"/>
        <v>95(9)</v>
      </c>
      <c r="BB22" s="2" t="str">
        <f t="shared" si="7"/>
        <v>89(11)</v>
      </c>
      <c r="BC22" s="2" t="str">
        <f t="shared" si="8"/>
        <v>52(76)</v>
      </c>
      <c r="BD22" s="2" t="str">
        <f t="shared" si="9"/>
        <v>69(49.2)</v>
      </c>
      <c r="BE22" s="2" t="str">
        <f t="shared" si="10"/>
        <v>73(46)</v>
      </c>
      <c r="BF22" s="2" t="str">
        <f t="shared" si="11"/>
        <v>99(13)</v>
      </c>
      <c r="BG22" s="2" t="str">
        <f t="shared" si="12"/>
        <v>42(75)</v>
      </c>
      <c r="BH22" s="2" t="str">
        <f t="shared" si="13"/>
        <v>83(69)</v>
      </c>
      <c r="BI22" s="2" t="str">
        <f t="shared" si="14"/>
        <v>95(42)</v>
      </c>
      <c r="BJ22" s="2" t="str">
        <f t="shared" si="15"/>
        <v>89(64)</v>
      </c>
    </row>
    <row r="23" spans="1:62" x14ac:dyDescent="0.35">
      <c r="A23">
        <v>21</v>
      </c>
      <c r="B23">
        <v>38.119999999999997</v>
      </c>
      <c r="C23">
        <v>0.56999999999999995</v>
      </c>
      <c r="D23">
        <v>84.41</v>
      </c>
      <c r="E23">
        <v>0.41</v>
      </c>
      <c r="F23">
        <v>74.14</v>
      </c>
      <c r="G23">
        <v>0.5</v>
      </c>
      <c r="H23">
        <v>86.72</v>
      </c>
      <c r="I23">
        <v>0.4</v>
      </c>
      <c r="J23">
        <v>98.11</v>
      </c>
      <c r="K23">
        <v>0.16</v>
      </c>
      <c r="L23">
        <v>98.64</v>
      </c>
      <c r="M23">
        <v>0.14000000000000001</v>
      </c>
      <c r="N23">
        <v>97.78</v>
      </c>
      <c r="O23">
        <v>0.16</v>
      </c>
      <c r="P23">
        <v>31.96</v>
      </c>
      <c r="Q23">
        <v>0.55000000000000004</v>
      </c>
      <c r="R23">
        <v>81.900000000000006</v>
      </c>
      <c r="S23">
        <v>0.43</v>
      </c>
      <c r="T23">
        <v>44.68</v>
      </c>
      <c r="U23">
        <v>0.57999999999999996</v>
      </c>
      <c r="V23">
        <v>61.95</v>
      </c>
      <c r="W23">
        <v>0.56999999999999995</v>
      </c>
      <c r="X23">
        <v>87.73</v>
      </c>
      <c r="Y23">
        <v>0.39</v>
      </c>
      <c r="Z23">
        <v>92.31</v>
      </c>
      <c r="AA23">
        <v>0.32</v>
      </c>
      <c r="AB23">
        <v>88.04</v>
      </c>
      <c r="AC23">
        <v>0.38</v>
      </c>
      <c r="AD23">
        <v>7.04</v>
      </c>
      <c r="AE23">
        <v>0.34</v>
      </c>
      <c r="AF23">
        <v>31.64</v>
      </c>
      <c r="AG23">
        <v>0.55000000000000004</v>
      </c>
      <c r="AH23">
        <v>12.37</v>
      </c>
      <c r="AI23">
        <v>0.41</v>
      </c>
      <c r="AJ23">
        <v>17.95</v>
      </c>
      <c r="AK23">
        <v>0.46</v>
      </c>
      <c r="AL23">
        <v>35.08</v>
      </c>
      <c r="AM23">
        <v>0.56000000000000005</v>
      </c>
      <c r="AN23">
        <v>68.84</v>
      </c>
      <c r="AO23">
        <v>0.54</v>
      </c>
      <c r="AP23">
        <v>20.8</v>
      </c>
      <c r="AQ23">
        <v>0.48</v>
      </c>
      <c r="AR23">
        <v>85.38</v>
      </c>
      <c r="AS23">
        <v>54.82</v>
      </c>
      <c r="AT23">
        <v>34.18</v>
      </c>
      <c r="AU23" s="2" t="str">
        <f t="shared" si="0"/>
        <v>38(16)</v>
      </c>
      <c r="AV23" s="2" t="str">
        <f t="shared" si="1"/>
        <v>84(3)</v>
      </c>
      <c r="AW23" s="2" t="str">
        <f t="shared" si="2"/>
        <v>85(36)</v>
      </c>
      <c r="AX23" s="2" t="str">
        <f t="shared" si="3"/>
        <v>99(6)</v>
      </c>
      <c r="AY23" s="2" t="str">
        <f t="shared" si="4"/>
        <v>74(40)</v>
      </c>
      <c r="AZ23" s="2" t="str">
        <f t="shared" si="5"/>
        <v>87(29)</v>
      </c>
      <c r="BA23" s="2" t="str">
        <f t="shared" si="6"/>
        <v>98(11)</v>
      </c>
      <c r="BB23" s="2" t="str">
        <f t="shared" si="7"/>
        <v>98(10)</v>
      </c>
      <c r="BC23" s="2" t="str">
        <f t="shared" si="8"/>
        <v>38(82)</v>
      </c>
      <c r="BD23" s="2" t="str">
        <f t="shared" si="9"/>
        <v>84(62.5)</v>
      </c>
      <c r="BE23" s="2" t="str">
        <f t="shared" si="10"/>
        <v>85(60)</v>
      </c>
      <c r="BF23" s="2" t="str">
        <f t="shared" si="11"/>
        <v>99(30)</v>
      </c>
      <c r="BG23" s="2" t="str">
        <f t="shared" si="12"/>
        <v>74(83)</v>
      </c>
      <c r="BH23" s="2" t="str">
        <f t="shared" si="13"/>
        <v>87(79)</v>
      </c>
      <c r="BI23" s="2" t="str">
        <f t="shared" si="14"/>
        <v>98(64)</v>
      </c>
      <c r="BJ23" s="2" t="str">
        <f t="shared" si="15"/>
        <v>98(79)</v>
      </c>
    </row>
    <row r="24" spans="1:62" x14ac:dyDescent="0.35">
      <c r="A24">
        <v>22</v>
      </c>
      <c r="B24">
        <v>47.74</v>
      </c>
      <c r="C24">
        <v>0.83</v>
      </c>
      <c r="D24">
        <v>86.26</v>
      </c>
      <c r="E24">
        <v>0.55000000000000004</v>
      </c>
      <c r="F24">
        <v>73.510000000000005</v>
      </c>
      <c r="G24">
        <v>0.7</v>
      </c>
      <c r="H24">
        <v>92.4</v>
      </c>
      <c r="I24">
        <v>0.43</v>
      </c>
      <c r="J24">
        <v>98.15</v>
      </c>
      <c r="K24">
        <v>0.21</v>
      </c>
      <c r="L24">
        <v>98.32</v>
      </c>
      <c r="M24">
        <v>0.21</v>
      </c>
      <c r="N24">
        <v>97.82</v>
      </c>
      <c r="O24">
        <v>0.2</v>
      </c>
      <c r="P24">
        <v>35.56</v>
      </c>
      <c r="Q24">
        <v>0.8</v>
      </c>
      <c r="R24">
        <v>82.74</v>
      </c>
      <c r="S24">
        <v>0.6</v>
      </c>
      <c r="T24">
        <v>31.74</v>
      </c>
      <c r="U24">
        <v>0.78</v>
      </c>
      <c r="V24">
        <v>52.06</v>
      </c>
      <c r="W24">
        <v>0.83</v>
      </c>
      <c r="X24">
        <v>74.73</v>
      </c>
      <c r="Y24">
        <v>0.71</v>
      </c>
      <c r="Z24">
        <v>77.569999999999993</v>
      </c>
      <c r="AA24">
        <v>0.7</v>
      </c>
      <c r="AB24">
        <v>80.23</v>
      </c>
      <c r="AC24">
        <v>0.64</v>
      </c>
      <c r="AD24">
        <v>3.32</v>
      </c>
      <c r="AE24">
        <v>0.28000000000000003</v>
      </c>
      <c r="AF24">
        <v>10.7</v>
      </c>
      <c r="AG24">
        <v>0.48</v>
      </c>
      <c r="AH24">
        <v>4.5199999999999996</v>
      </c>
      <c r="AI24">
        <v>0.33</v>
      </c>
      <c r="AJ24">
        <v>8.2799999999999994</v>
      </c>
      <c r="AK24">
        <v>0.4</v>
      </c>
      <c r="AL24">
        <v>13.8</v>
      </c>
      <c r="AM24">
        <v>0.53</v>
      </c>
      <c r="AN24">
        <v>23.54</v>
      </c>
      <c r="AO24">
        <v>0.68</v>
      </c>
      <c r="AP24">
        <v>9.51</v>
      </c>
      <c r="AQ24">
        <v>0.44</v>
      </c>
      <c r="AR24">
        <v>83.75</v>
      </c>
      <c r="AS24">
        <v>36.18</v>
      </c>
      <c r="AT24">
        <v>18.21</v>
      </c>
      <c r="AU24" s="2" t="str">
        <f t="shared" si="0"/>
        <v>48(26)</v>
      </c>
      <c r="AV24" s="2" t="str">
        <f t="shared" si="1"/>
        <v>86(4)</v>
      </c>
      <c r="AW24" s="2" t="str">
        <f t="shared" si="2"/>
        <v>84(57)</v>
      </c>
      <c r="AX24" s="2" t="str">
        <f t="shared" si="3"/>
        <v>98(21)</v>
      </c>
      <c r="AY24" s="2" t="str">
        <f t="shared" si="4"/>
        <v>74(57)</v>
      </c>
      <c r="AZ24" s="2" t="str">
        <f t="shared" si="5"/>
        <v>92(44)</v>
      </c>
      <c r="BA24" s="2" t="str">
        <f t="shared" si="6"/>
        <v>98(24)</v>
      </c>
      <c r="BB24" s="2" t="str">
        <f t="shared" si="7"/>
        <v>98(18)</v>
      </c>
      <c r="BC24" s="2" t="str">
        <f t="shared" si="8"/>
        <v>48(93)</v>
      </c>
      <c r="BD24" s="2" t="str">
        <f t="shared" si="9"/>
        <v>86(87.6)</v>
      </c>
      <c r="BE24" s="2" t="str">
        <f t="shared" si="10"/>
        <v>84(78)</v>
      </c>
      <c r="BF24" s="2" t="str">
        <f t="shared" si="11"/>
        <v>98(76)</v>
      </c>
      <c r="BG24" s="2" t="str">
        <f t="shared" si="12"/>
        <v>74(94)</v>
      </c>
      <c r="BH24" s="2" t="str">
        <f t="shared" si="13"/>
        <v>92(91)</v>
      </c>
      <c r="BI24" s="2" t="str">
        <f t="shared" si="14"/>
        <v>98(86)</v>
      </c>
      <c r="BJ24" s="2" t="str">
        <f t="shared" si="15"/>
        <v>98(90)</v>
      </c>
    </row>
    <row r="25" spans="1:62" x14ac:dyDescent="0.35">
      <c r="A25">
        <v>23</v>
      </c>
      <c r="B25">
        <v>30.95</v>
      </c>
      <c r="C25">
        <v>0.44</v>
      </c>
      <c r="D25">
        <v>55.94</v>
      </c>
      <c r="E25">
        <v>0.47</v>
      </c>
      <c r="F25">
        <v>8.76</v>
      </c>
      <c r="G25">
        <v>0.28000000000000003</v>
      </c>
      <c r="H25">
        <v>88.75</v>
      </c>
      <c r="I25">
        <v>0.3</v>
      </c>
      <c r="J25">
        <v>94.53</v>
      </c>
      <c r="K25">
        <v>0.21</v>
      </c>
      <c r="L25">
        <v>98.8</v>
      </c>
      <c r="M25">
        <v>0.1</v>
      </c>
      <c r="N25">
        <v>76.040000000000006</v>
      </c>
      <c r="O25">
        <v>0.4</v>
      </c>
      <c r="P25">
        <v>28.05</v>
      </c>
      <c r="Q25">
        <v>0.43</v>
      </c>
      <c r="R25">
        <v>54.65</v>
      </c>
      <c r="S25">
        <v>0.47</v>
      </c>
      <c r="T25">
        <v>6.74</v>
      </c>
      <c r="U25">
        <v>0.25</v>
      </c>
      <c r="V25">
        <v>79.099999999999994</v>
      </c>
      <c r="W25">
        <v>0.39</v>
      </c>
      <c r="X25">
        <v>88.31</v>
      </c>
      <c r="Y25">
        <v>0.3</v>
      </c>
      <c r="Z25">
        <v>97.85</v>
      </c>
      <c r="AA25">
        <v>0.13</v>
      </c>
      <c r="AB25">
        <v>66.400000000000006</v>
      </c>
      <c r="AC25">
        <v>0.45</v>
      </c>
      <c r="AD25">
        <v>13.97</v>
      </c>
      <c r="AE25">
        <v>0.33</v>
      </c>
      <c r="AF25">
        <v>38.1</v>
      </c>
      <c r="AG25">
        <v>0.46</v>
      </c>
      <c r="AH25">
        <v>4.6500000000000004</v>
      </c>
      <c r="AI25">
        <v>0.21</v>
      </c>
      <c r="AJ25">
        <v>54.21</v>
      </c>
      <c r="AK25">
        <v>0.48</v>
      </c>
      <c r="AL25">
        <v>70.39</v>
      </c>
      <c r="AM25">
        <v>0.44</v>
      </c>
      <c r="AN25">
        <v>91.96</v>
      </c>
      <c r="AO25">
        <v>0.26</v>
      </c>
      <c r="AP25">
        <v>42.1</v>
      </c>
      <c r="AQ25">
        <v>0.47</v>
      </c>
      <c r="AR25">
        <v>50.22</v>
      </c>
      <c r="AS25">
        <v>41.63</v>
      </c>
      <c r="AT25">
        <v>36.26</v>
      </c>
      <c r="AU25" s="2" t="str">
        <f t="shared" si="0"/>
        <v>31(9)</v>
      </c>
      <c r="AV25" s="2" t="str">
        <f t="shared" si="1"/>
        <v>56(2)</v>
      </c>
      <c r="AW25" s="2" t="str">
        <f t="shared" si="2"/>
        <v>50(17)</v>
      </c>
      <c r="AX25" s="2" t="str">
        <f t="shared" si="3"/>
        <v>99(1)</v>
      </c>
      <c r="AY25" s="2" t="str">
        <f t="shared" si="4"/>
        <v>9(23)</v>
      </c>
      <c r="AZ25" s="2" t="str">
        <f t="shared" si="5"/>
        <v>89(11)</v>
      </c>
      <c r="BA25" s="2" t="str">
        <f t="shared" si="6"/>
        <v>95(7)</v>
      </c>
      <c r="BB25" s="2" t="str">
        <f t="shared" si="7"/>
        <v>76(13)</v>
      </c>
      <c r="BC25" s="2" t="str">
        <f t="shared" si="8"/>
        <v>31(55)</v>
      </c>
      <c r="BD25" s="2" t="str">
        <f t="shared" si="9"/>
        <v>56(31.9)</v>
      </c>
      <c r="BE25" s="2" t="str">
        <f t="shared" si="10"/>
        <v>50(28)</v>
      </c>
      <c r="BF25" s="2" t="str">
        <f t="shared" si="11"/>
        <v>99(7)</v>
      </c>
      <c r="BG25" s="2" t="str">
        <f t="shared" si="12"/>
        <v>9(47)</v>
      </c>
      <c r="BH25" s="2" t="str">
        <f t="shared" si="13"/>
        <v>89(39)</v>
      </c>
      <c r="BI25" s="2" t="str">
        <f t="shared" si="14"/>
        <v>95(26)</v>
      </c>
      <c r="BJ25" s="2" t="str">
        <f t="shared" si="15"/>
        <v>76(45)</v>
      </c>
    </row>
    <row r="26" spans="1:62" x14ac:dyDescent="0.35">
      <c r="A26">
        <v>24</v>
      </c>
      <c r="B26">
        <v>37.82</v>
      </c>
      <c r="C26">
        <v>0.52</v>
      </c>
      <c r="D26">
        <v>44.07</v>
      </c>
      <c r="E26">
        <v>0.53</v>
      </c>
      <c r="F26">
        <v>16.53</v>
      </c>
      <c r="G26">
        <v>0.39</v>
      </c>
      <c r="H26">
        <v>95.31</v>
      </c>
      <c r="I26">
        <v>0.22</v>
      </c>
      <c r="J26">
        <v>95.47</v>
      </c>
      <c r="K26">
        <v>0.22</v>
      </c>
      <c r="L26">
        <v>98.39</v>
      </c>
      <c r="M26">
        <v>0.13</v>
      </c>
      <c r="N26">
        <v>89.3</v>
      </c>
      <c r="O26">
        <v>0.32</v>
      </c>
      <c r="P26">
        <v>35.909999999999997</v>
      </c>
      <c r="Q26">
        <v>0.51</v>
      </c>
      <c r="R26">
        <v>42.72</v>
      </c>
      <c r="S26">
        <v>0.53</v>
      </c>
      <c r="T26">
        <v>13.51</v>
      </c>
      <c r="U26">
        <v>0.36</v>
      </c>
      <c r="V26">
        <v>91.53</v>
      </c>
      <c r="W26">
        <v>0.28999999999999998</v>
      </c>
      <c r="X26">
        <v>92.95</v>
      </c>
      <c r="Y26">
        <v>0.27</v>
      </c>
      <c r="Z26">
        <v>97.84</v>
      </c>
      <c r="AA26">
        <v>0.15</v>
      </c>
      <c r="AB26">
        <v>85.52</v>
      </c>
      <c r="AC26">
        <v>0.37</v>
      </c>
      <c r="AD26">
        <v>23.92</v>
      </c>
      <c r="AE26">
        <v>0.46</v>
      </c>
      <c r="AF26">
        <v>30.9</v>
      </c>
      <c r="AG26">
        <v>0.49</v>
      </c>
      <c r="AH26">
        <v>9.77</v>
      </c>
      <c r="AI26">
        <v>0.32</v>
      </c>
      <c r="AJ26">
        <v>73.44</v>
      </c>
      <c r="AK26">
        <v>0.46</v>
      </c>
      <c r="AL26">
        <v>81.38</v>
      </c>
      <c r="AM26">
        <v>0.41</v>
      </c>
      <c r="AN26">
        <v>95.53</v>
      </c>
      <c r="AO26">
        <v>0.22</v>
      </c>
      <c r="AP26">
        <v>66.86</v>
      </c>
      <c r="AQ26">
        <v>0.5</v>
      </c>
      <c r="AR26">
        <v>60.42</v>
      </c>
      <c r="AS26">
        <v>53.23</v>
      </c>
      <c r="AT26">
        <v>47.97</v>
      </c>
      <c r="AU26" s="2" t="str">
        <f t="shared" si="0"/>
        <v>38(5)</v>
      </c>
      <c r="AV26" s="2" t="str">
        <f t="shared" si="1"/>
        <v>44(3)</v>
      </c>
      <c r="AW26" s="2" t="str">
        <f t="shared" si="2"/>
        <v>60(12)</v>
      </c>
      <c r="AX26" s="2" t="str">
        <f t="shared" si="3"/>
        <v>98(1)</v>
      </c>
      <c r="AY26" s="2" t="str">
        <f t="shared" si="4"/>
        <v>17(18)</v>
      </c>
      <c r="AZ26" s="2" t="str">
        <f t="shared" si="5"/>
        <v>95(4)</v>
      </c>
      <c r="BA26" s="2" t="str">
        <f t="shared" si="6"/>
        <v>95(3)</v>
      </c>
      <c r="BB26" s="2" t="str">
        <f t="shared" si="7"/>
        <v>89(4)</v>
      </c>
      <c r="BC26" s="2" t="str">
        <f t="shared" si="8"/>
        <v>38(37)</v>
      </c>
      <c r="BD26" s="2" t="str">
        <f t="shared" si="9"/>
        <v>44(29.9)</v>
      </c>
      <c r="BE26" s="2" t="str">
        <f t="shared" si="10"/>
        <v>60(21)</v>
      </c>
      <c r="BF26" s="2" t="str">
        <f t="shared" si="11"/>
        <v>98(3)</v>
      </c>
      <c r="BG26" s="2" t="str">
        <f t="shared" si="12"/>
        <v>17(41)</v>
      </c>
      <c r="BH26" s="2" t="str">
        <f t="shared" si="13"/>
        <v>95(23)</v>
      </c>
      <c r="BI26" s="2" t="str">
        <f t="shared" si="14"/>
        <v>95(15)</v>
      </c>
      <c r="BJ26" s="2" t="str">
        <f t="shared" si="15"/>
        <v>89(25)</v>
      </c>
    </row>
    <row r="27" spans="1:62" x14ac:dyDescent="0.35">
      <c r="A27">
        <v>25</v>
      </c>
      <c r="B27">
        <v>31.39</v>
      </c>
      <c r="C27">
        <v>2.09</v>
      </c>
      <c r="D27">
        <v>45.86</v>
      </c>
      <c r="E27">
        <v>2.3199999999999998</v>
      </c>
      <c r="F27">
        <v>21.61</v>
      </c>
      <c r="G27">
        <v>1.76</v>
      </c>
      <c r="H27">
        <v>81.88</v>
      </c>
      <c r="I27">
        <v>1.9</v>
      </c>
      <c r="J27">
        <v>92.55</v>
      </c>
      <c r="K27">
        <v>1.28</v>
      </c>
      <c r="L27">
        <v>99.32</v>
      </c>
      <c r="M27">
        <v>0.31</v>
      </c>
      <c r="N27">
        <v>95.13</v>
      </c>
      <c r="O27">
        <v>1</v>
      </c>
      <c r="P27">
        <v>30.32</v>
      </c>
      <c r="Q27">
        <v>2.0699999999999998</v>
      </c>
      <c r="R27">
        <v>45.11</v>
      </c>
      <c r="S27">
        <v>2.3199999999999998</v>
      </c>
      <c r="T27">
        <v>18.55</v>
      </c>
      <c r="U27">
        <v>1.68</v>
      </c>
      <c r="V27">
        <v>80.37</v>
      </c>
      <c r="W27">
        <v>1.91</v>
      </c>
      <c r="X27">
        <v>91.9</v>
      </c>
      <c r="Y27">
        <v>1.3</v>
      </c>
      <c r="Z27">
        <v>99.27</v>
      </c>
      <c r="AA27">
        <v>0.32</v>
      </c>
      <c r="AB27">
        <v>94.5</v>
      </c>
      <c r="AC27">
        <v>1.02</v>
      </c>
      <c r="AD27">
        <v>23.45</v>
      </c>
      <c r="AE27">
        <v>1.98</v>
      </c>
      <c r="AF27">
        <v>39.299999999999997</v>
      </c>
      <c r="AG27">
        <v>2.31</v>
      </c>
      <c r="AH27">
        <v>13.12</v>
      </c>
      <c r="AI27">
        <v>1.54</v>
      </c>
      <c r="AJ27">
        <v>72.02</v>
      </c>
      <c r="AK27">
        <v>2.0499999999999998</v>
      </c>
      <c r="AL27">
        <v>86.83</v>
      </c>
      <c r="AM27">
        <v>1.45</v>
      </c>
      <c r="AN27">
        <v>97.76</v>
      </c>
      <c r="AO27">
        <v>0.52</v>
      </c>
      <c r="AP27">
        <v>86.06</v>
      </c>
      <c r="AQ27">
        <v>1.36</v>
      </c>
      <c r="AR27">
        <v>69.760000000000005</v>
      </c>
      <c r="AS27">
        <v>62.5</v>
      </c>
      <c r="AT27">
        <v>55.81</v>
      </c>
      <c r="AU27" s="2" t="str">
        <f t="shared" si="0"/>
        <v>31(3)</v>
      </c>
      <c r="AV27" s="2" t="str">
        <f t="shared" si="1"/>
        <v>46(2)</v>
      </c>
      <c r="AW27" s="2" t="str">
        <f t="shared" si="2"/>
        <v>70(10)</v>
      </c>
      <c r="AX27" s="2" t="str">
        <f t="shared" si="3"/>
        <v>99(0)</v>
      </c>
      <c r="AY27" s="2" t="str">
        <f t="shared" si="4"/>
        <v>22(14)</v>
      </c>
      <c r="AZ27" s="2" t="str">
        <f t="shared" si="5"/>
        <v>82(2)</v>
      </c>
      <c r="BA27" s="2" t="str">
        <f t="shared" si="6"/>
        <v>93(1)</v>
      </c>
      <c r="BB27" s="2" t="str">
        <f t="shared" si="7"/>
        <v>95(1)</v>
      </c>
      <c r="BC27" s="2" t="str">
        <f t="shared" si="8"/>
        <v>31(25)</v>
      </c>
      <c r="BD27" s="2" t="str">
        <f t="shared" si="9"/>
        <v>46(14.3)</v>
      </c>
      <c r="BE27" s="2" t="str">
        <f t="shared" si="10"/>
        <v>70(20)</v>
      </c>
      <c r="BF27" s="2" t="str">
        <f t="shared" si="11"/>
        <v>99(2)</v>
      </c>
      <c r="BG27" s="2" t="str">
        <f t="shared" si="12"/>
        <v>22(39)</v>
      </c>
      <c r="BH27" s="2" t="str">
        <f t="shared" si="13"/>
        <v>82(12)</v>
      </c>
      <c r="BI27" s="2" t="str">
        <f t="shared" si="14"/>
        <v>93(6)</v>
      </c>
      <c r="BJ27" s="2" t="str">
        <f t="shared" si="15"/>
        <v>95(10)</v>
      </c>
    </row>
    <row r="28" spans="1:62" x14ac:dyDescent="0.35">
      <c r="A28">
        <v>27</v>
      </c>
      <c r="B28">
        <v>44.69</v>
      </c>
      <c r="C28">
        <v>0.42</v>
      </c>
      <c r="D28">
        <v>59.52</v>
      </c>
      <c r="E28">
        <v>0.43</v>
      </c>
      <c r="F28">
        <v>28.23</v>
      </c>
      <c r="G28">
        <v>0.37</v>
      </c>
      <c r="H28">
        <v>92.43</v>
      </c>
      <c r="I28">
        <v>0.23</v>
      </c>
      <c r="J28">
        <v>96.95</v>
      </c>
      <c r="K28">
        <v>0.16</v>
      </c>
      <c r="L28">
        <v>98.49</v>
      </c>
      <c r="M28">
        <v>0.14000000000000001</v>
      </c>
      <c r="N28">
        <v>93.32</v>
      </c>
      <c r="O28">
        <v>0.21</v>
      </c>
      <c r="P28">
        <v>41.78</v>
      </c>
      <c r="Q28">
        <v>0.42</v>
      </c>
      <c r="R28">
        <v>58.16</v>
      </c>
      <c r="S28">
        <v>0.43</v>
      </c>
      <c r="T28">
        <v>23.13</v>
      </c>
      <c r="U28">
        <v>0.35</v>
      </c>
      <c r="V28">
        <v>86.71</v>
      </c>
      <c r="W28">
        <v>0.28000000000000003</v>
      </c>
      <c r="X28">
        <v>93.73</v>
      </c>
      <c r="Y28">
        <v>0.2</v>
      </c>
      <c r="Z28">
        <v>97.64</v>
      </c>
      <c r="AA28">
        <v>0.16</v>
      </c>
      <c r="AB28">
        <v>88.92</v>
      </c>
      <c r="AC28">
        <v>0.26</v>
      </c>
      <c r="AD28">
        <v>24.85</v>
      </c>
      <c r="AE28">
        <v>0.37</v>
      </c>
      <c r="AF28">
        <v>43.34</v>
      </c>
      <c r="AG28">
        <v>0.42</v>
      </c>
      <c r="AH28">
        <v>16.47</v>
      </c>
      <c r="AI28">
        <v>0.32</v>
      </c>
      <c r="AJ28">
        <v>63.99</v>
      </c>
      <c r="AK28">
        <v>0.39</v>
      </c>
      <c r="AL28">
        <v>81.709999999999994</v>
      </c>
      <c r="AM28">
        <v>0.31</v>
      </c>
      <c r="AN28">
        <v>93.35</v>
      </c>
      <c r="AO28">
        <v>0.22</v>
      </c>
      <c r="AP28">
        <v>65.97</v>
      </c>
      <c r="AQ28">
        <v>0.39</v>
      </c>
      <c r="AR28">
        <v>70.5</v>
      </c>
      <c r="AS28">
        <v>60.76</v>
      </c>
      <c r="AT28">
        <v>53.35</v>
      </c>
      <c r="AU28" s="2" t="str">
        <f t="shared" si="0"/>
        <v>45(7)</v>
      </c>
      <c r="AV28" s="2" t="str">
        <f t="shared" si="1"/>
        <v>60(2)</v>
      </c>
      <c r="AW28" s="2" t="str">
        <f t="shared" si="2"/>
        <v>71(14)</v>
      </c>
      <c r="AX28" s="2" t="str">
        <f t="shared" si="3"/>
        <v>98(1)</v>
      </c>
      <c r="AY28" s="2" t="str">
        <f t="shared" si="4"/>
        <v>28(18)</v>
      </c>
      <c r="AZ28" s="2" t="str">
        <f t="shared" si="5"/>
        <v>92(6)</v>
      </c>
      <c r="BA28" s="2" t="str">
        <f t="shared" si="6"/>
        <v>97(3)</v>
      </c>
      <c r="BB28" s="2" t="str">
        <f t="shared" si="7"/>
        <v>93(5)</v>
      </c>
      <c r="BC28" s="2" t="str">
        <f t="shared" si="8"/>
        <v>45(44)</v>
      </c>
      <c r="BD28" s="2" t="str">
        <f t="shared" si="9"/>
        <v>60(27.2)</v>
      </c>
      <c r="BE28" s="2" t="str">
        <f t="shared" si="10"/>
        <v>71(24)</v>
      </c>
      <c r="BF28" s="2" t="str">
        <f t="shared" si="11"/>
        <v>98(5)</v>
      </c>
      <c r="BG28" s="2" t="str">
        <f t="shared" si="12"/>
        <v>28(42)</v>
      </c>
      <c r="BH28" s="2" t="str">
        <f t="shared" si="13"/>
        <v>92(31)</v>
      </c>
      <c r="BI28" s="2" t="str">
        <f t="shared" si="14"/>
        <v>97(16)</v>
      </c>
      <c r="BJ28" s="2" t="str">
        <f t="shared" si="15"/>
        <v>93(29)</v>
      </c>
    </row>
    <row r="29" spans="1:62" x14ac:dyDescent="0.35">
      <c r="A29">
        <v>28</v>
      </c>
      <c r="B29">
        <v>46.81</v>
      </c>
      <c r="C29">
        <v>0.56000000000000005</v>
      </c>
      <c r="D29">
        <v>36.21</v>
      </c>
      <c r="E29">
        <v>0.54</v>
      </c>
      <c r="F29">
        <v>67.59</v>
      </c>
      <c r="G29">
        <v>0.53</v>
      </c>
      <c r="H29">
        <v>87.84</v>
      </c>
      <c r="I29">
        <v>0.36</v>
      </c>
      <c r="J29">
        <v>97.48</v>
      </c>
      <c r="K29">
        <v>0.18</v>
      </c>
      <c r="L29">
        <v>97.2</v>
      </c>
      <c r="M29">
        <v>0.17</v>
      </c>
      <c r="N29">
        <v>97.58</v>
      </c>
      <c r="O29">
        <v>0.19</v>
      </c>
      <c r="P29">
        <v>38.32</v>
      </c>
      <c r="Q29">
        <v>0.54</v>
      </c>
      <c r="R29">
        <v>30.67</v>
      </c>
      <c r="S29">
        <v>0.52</v>
      </c>
      <c r="T29">
        <v>38.299999999999997</v>
      </c>
      <c r="U29">
        <v>0.54</v>
      </c>
      <c r="V29">
        <v>63.16</v>
      </c>
      <c r="W29">
        <v>0.53</v>
      </c>
      <c r="X29">
        <v>84.03</v>
      </c>
      <c r="Y29">
        <v>0.41</v>
      </c>
      <c r="Z29">
        <v>89.62</v>
      </c>
      <c r="AA29">
        <v>0.33</v>
      </c>
      <c r="AB29">
        <v>88.78</v>
      </c>
      <c r="AC29">
        <v>0.35</v>
      </c>
      <c r="AD29">
        <v>8.5299999999999994</v>
      </c>
      <c r="AE29">
        <v>0.34</v>
      </c>
      <c r="AF29">
        <v>7.66</v>
      </c>
      <c r="AG29">
        <v>0.32</v>
      </c>
      <c r="AH29">
        <v>11.66</v>
      </c>
      <c r="AI29">
        <v>0.38</v>
      </c>
      <c r="AJ29">
        <v>17.96</v>
      </c>
      <c r="AK29">
        <v>0.46</v>
      </c>
      <c r="AL29">
        <v>34.76</v>
      </c>
      <c r="AM29">
        <v>0.54</v>
      </c>
      <c r="AN29">
        <v>58.11</v>
      </c>
      <c r="AO29">
        <v>0.55000000000000004</v>
      </c>
      <c r="AP29">
        <v>24.23</v>
      </c>
      <c r="AQ29">
        <v>0.5</v>
      </c>
      <c r="AR29">
        <v>89.43</v>
      </c>
      <c r="AS29">
        <v>60.06</v>
      </c>
      <c r="AT29">
        <v>36.82</v>
      </c>
      <c r="AU29" s="2" t="str">
        <f t="shared" si="0"/>
        <v>47(18)</v>
      </c>
      <c r="AV29" s="2" t="str">
        <f t="shared" si="1"/>
        <v>36(15)</v>
      </c>
      <c r="AW29" s="2" t="str">
        <f t="shared" si="2"/>
        <v>89(33)</v>
      </c>
      <c r="AX29" s="2" t="str">
        <f t="shared" si="3"/>
        <v>97(8)</v>
      </c>
      <c r="AY29" s="2" t="str">
        <f t="shared" si="4"/>
        <v>68(43)</v>
      </c>
      <c r="AZ29" s="2" t="str">
        <f t="shared" si="5"/>
        <v>88(28)</v>
      </c>
      <c r="BA29" s="2" t="str">
        <f t="shared" si="6"/>
        <v>97(14)</v>
      </c>
      <c r="BB29" s="2" t="str">
        <f t="shared" si="7"/>
        <v>98(9)</v>
      </c>
      <c r="BC29" s="2" t="str">
        <f t="shared" si="8"/>
        <v>47(82)</v>
      </c>
      <c r="BD29" s="2" t="str">
        <f t="shared" si="9"/>
        <v>36(78.8)</v>
      </c>
      <c r="BE29" s="2" t="str">
        <f t="shared" si="10"/>
        <v>89(59)</v>
      </c>
      <c r="BF29" s="2" t="str">
        <f t="shared" si="11"/>
        <v>97(40)</v>
      </c>
      <c r="BG29" s="2" t="str">
        <f t="shared" si="12"/>
        <v>68(83)</v>
      </c>
      <c r="BH29" s="2" t="str">
        <f t="shared" si="13"/>
        <v>88(80)</v>
      </c>
      <c r="BI29" s="2" t="str">
        <f t="shared" si="14"/>
        <v>97(64)</v>
      </c>
      <c r="BJ29" s="2" t="str">
        <f t="shared" si="15"/>
        <v>98(75)</v>
      </c>
    </row>
    <row r="30" spans="1:62" x14ac:dyDescent="0.35">
      <c r="A30">
        <v>29</v>
      </c>
      <c r="B30">
        <v>39.97</v>
      </c>
      <c r="C30">
        <v>0.5</v>
      </c>
      <c r="D30">
        <v>47.75</v>
      </c>
      <c r="E30">
        <v>0.51</v>
      </c>
      <c r="F30">
        <v>44.92</v>
      </c>
      <c r="G30">
        <v>0.51</v>
      </c>
      <c r="H30">
        <v>89.28</v>
      </c>
      <c r="I30">
        <v>0.31</v>
      </c>
      <c r="J30">
        <v>95.01</v>
      </c>
      <c r="K30">
        <v>0.22</v>
      </c>
      <c r="L30">
        <v>97.28</v>
      </c>
      <c r="M30">
        <v>0.17</v>
      </c>
      <c r="N30">
        <v>92.83</v>
      </c>
      <c r="O30">
        <v>0.26</v>
      </c>
      <c r="P30">
        <v>32.82</v>
      </c>
      <c r="Q30">
        <v>0.48</v>
      </c>
      <c r="R30">
        <v>43.41</v>
      </c>
      <c r="S30">
        <v>0.5</v>
      </c>
      <c r="T30">
        <v>27.31</v>
      </c>
      <c r="U30">
        <v>0.47</v>
      </c>
      <c r="V30">
        <v>70.63</v>
      </c>
      <c r="W30">
        <v>0.46</v>
      </c>
      <c r="X30">
        <v>84.19</v>
      </c>
      <c r="Y30">
        <v>0.36</v>
      </c>
      <c r="Z30">
        <v>92.78</v>
      </c>
      <c r="AA30">
        <v>0.25</v>
      </c>
      <c r="AB30">
        <v>81.42</v>
      </c>
      <c r="AC30">
        <v>0.39</v>
      </c>
      <c r="AD30">
        <v>13.4</v>
      </c>
      <c r="AE30">
        <v>0.38</v>
      </c>
      <c r="AF30">
        <v>16.12</v>
      </c>
      <c r="AG30">
        <v>0.38</v>
      </c>
      <c r="AH30">
        <v>14.84</v>
      </c>
      <c r="AI30">
        <v>0.39</v>
      </c>
      <c r="AJ30">
        <v>31.92</v>
      </c>
      <c r="AK30">
        <v>0.5</v>
      </c>
      <c r="AL30">
        <v>46.71</v>
      </c>
      <c r="AM30">
        <v>0.51</v>
      </c>
      <c r="AN30">
        <v>68.540000000000006</v>
      </c>
      <c r="AO30">
        <v>0.46</v>
      </c>
      <c r="AP30">
        <v>34.79</v>
      </c>
      <c r="AQ30">
        <v>0.5</v>
      </c>
      <c r="AR30">
        <v>68.53</v>
      </c>
      <c r="AS30">
        <v>45.9</v>
      </c>
      <c r="AT30">
        <v>33.29</v>
      </c>
      <c r="AU30" s="2" t="str">
        <f t="shared" si="0"/>
        <v>40(18)</v>
      </c>
      <c r="AV30" s="2" t="str">
        <f t="shared" si="1"/>
        <v>48(9)</v>
      </c>
      <c r="AW30" s="2" t="str">
        <f t="shared" si="2"/>
        <v>69(33)</v>
      </c>
      <c r="AX30" s="2" t="str">
        <f t="shared" si="3"/>
        <v>97(5)</v>
      </c>
      <c r="AY30" s="2" t="str">
        <f t="shared" si="4"/>
        <v>45(39)</v>
      </c>
      <c r="AZ30" s="2" t="str">
        <f t="shared" si="5"/>
        <v>89(21)</v>
      </c>
      <c r="BA30" s="2" t="str">
        <f t="shared" si="6"/>
        <v>95(11)</v>
      </c>
      <c r="BB30" s="2" t="str">
        <f t="shared" si="7"/>
        <v>93(12)</v>
      </c>
      <c r="BC30" s="2" t="str">
        <f t="shared" si="8"/>
        <v>40(66)</v>
      </c>
      <c r="BD30" s="2" t="str">
        <f t="shared" si="9"/>
        <v>48(66.2)</v>
      </c>
      <c r="BE30" s="2" t="str">
        <f t="shared" si="10"/>
        <v>69(51)</v>
      </c>
      <c r="BF30" s="2" t="str">
        <f t="shared" si="11"/>
        <v>97(30)</v>
      </c>
      <c r="BG30" s="2" t="str">
        <f t="shared" si="12"/>
        <v>45(67)</v>
      </c>
      <c r="BH30" s="2" t="str">
        <f t="shared" si="13"/>
        <v>89(64)</v>
      </c>
      <c r="BI30" s="2" t="str">
        <f t="shared" si="14"/>
        <v>95(51)</v>
      </c>
      <c r="BJ30" s="2" t="str">
        <f t="shared" si="15"/>
        <v>93(63)</v>
      </c>
    </row>
    <row r="31" spans="1:62" x14ac:dyDescent="0.35">
      <c r="A31">
        <v>30</v>
      </c>
      <c r="B31">
        <v>8.58</v>
      </c>
      <c r="C31">
        <v>1.25</v>
      </c>
      <c r="D31">
        <v>27.31</v>
      </c>
      <c r="E31">
        <v>1.9</v>
      </c>
      <c r="F31">
        <v>46.36</v>
      </c>
      <c r="G31">
        <v>2.12</v>
      </c>
      <c r="H31">
        <v>89.7</v>
      </c>
      <c r="I31">
        <v>1.29</v>
      </c>
      <c r="J31">
        <v>93.53</v>
      </c>
      <c r="K31">
        <v>1.03</v>
      </c>
      <c r="L31">
        <v>93.04</v>
      </c>
      <c r="M31">
        <v>1.04</v>
      </c>
      <c r="N31">
        <v>90.45</v>
      </c>
      <c r="O31">
        <v>1.27</v>
      </c>
      <c r="P31">
        <v>7.56</v>
      </c>
      <c r="Q31">
        <v>1.2</v>
      </c>
      <c r="R31">
        <v>26.05</v>
      </c>
      <c r="S31">
        <v>1.87</v>
      </c>
      <c r="T31">
        <v>26.28</v>
      </c>
      <c r="U31">
        <v>1.91</v>
      </c>
      <c r="V31">
        <v>69.88</v>
      </c>
      <c r="W31">
        <v>1.94</v>
      </c>
      <c r="X31">
        <v>80.12</v>
      </c>
      <c r="Y31">
        <v>1.69</v>
      </c>
      <c r="Z31">
        <v>86.33</v>
      </c>
      <c r="AA31">
        <v>1.39</v>
      </c>
      <c r="AB31">
        <v>75.78</v>
      </c>
      <c r="AC31">
        <v>1.82</v>
      </c>
      <c r="AD31">
        <v>4.99</v>
      </c>
      <c r="AE31">
        <v>1.04</v>
      </c>
      <c r="AF31">
        <v>17.52</v>
      </c>
      <c r="AG31">
        <v>1.65</v>
      </c>
      <c r="AH31">
        <v>11.22</v>
      </c>
      <c r="AI31">
        <v>1.44</v>
      </c>
      <c r="AJ31">
        <v>32.409999999999997</v>
      </c>
      <c r="AK31">
        <v>2.04</v>
      </c>
      <c r="AL31">
        <v>44.49</v>
      </c>
      <c r="AM31">
        <v>2.13</v>
      </c>
      <c r="AN31">
        <v>66.89</v>
      </c>
      <c r="AO31">
        <v>1.97</v>
      </c>
      <c r="AP31">
        <v>32.82</v>
      </c>
      <c r="AQ31">
        <v>2.04</v>
      </c>
      <c r="AR31">
        <v>63.52</v>
      </c>
      <c r="AS31">
        <v>42.33</v>
      </c>
      <c r="AT31">
        <v>30.95</v>
      </c>
      <c r="AU31" s="2" t="str">
        <f t="shared" si="0"/>
        <v>9(12)</v>
      </c>
      <c r="AV31" s="2" t="str">
        <f t="shared" si="1"/>
        <v>27(5)</v>
      </c>
      <c r="AW31" s="2" t="str">
        <f t="shared" si="2"/>
        <v>64(33)</v>
      </c>
      <c r="AX31" s="2" t="str">
        <f t="shared" si="3"/>
        <v>93(7)</v>
      </c>
      <c r="AY31" s="2" t="str">
        <f t="shared" si="4"/>
        <v>46(43)</v>
      </c>
      <c r="AZ31" s="2" t="str">
        <f t="shared" si="5"/>
        <v>90(22)</v>
      </c>
      <c r="BA31" s="2" t="str">
        <f t="shared" si="6"/>
        <v>94(14)</v>
      </c>
      <c r="BB31" s="2" t="str">
        <f t="shared" si="7"/>
        <v>90(16)</v>
      </c>
      <c r="BC31" s="2" t="str">
        <f t="shared" si="8"/>
        <v>9(42)</v>
      </c>
      <c r="BD31" s="2" t="str">
        <f t="shared" si="9"/>
        <v>27(35.8)</v>
      </c>
      <c r="BE31" s="2" t="str">
        <f t="shared" si="10"/>
        <v>64(51)</v>
      </c>
      <c r="BF31" s="2" t="str">
        <f t="shared" si="11"/>
        <v>93(28)</v>
      </c>
      <c r="BG31" s="2" t="str">
        <f t="shared" si="12"/>
        <v>46(76)</v>
      </c>
      <c r="BH31" s="2" t="str">
        <f t="shared" si="13"/>
        <v>90(64)</v>
      </c>
      <c r="BI31" s="2" t="str">
        <f t="shared" si="14"/>
        <v>94(52)</v>
      </c>
      <c r="BJ31" s="2" t="str">
        <f t="shared" si="15"/>
        <v>90(64)</v>
      </c>
    </row>
    <row r="32" spans="1:62" x14ac:dyDescent="0.35">
      <c r="A32">
        <v>31</v>
      </c>
      <c r="B32">
        <v>43.96</v>
      </c>
      <c r="C32">
        <v>2.33</v>
      </c>
      <c r="D32">
        <v>55.3</v>
      </c>
      <c r="E32">
        <v>2.27</v>
      </c>
      <c r="F32">
        <v>98.2</v>
      </c>
      <c r="G32">
        <v>0.59</v>
      </c>
      <c r="H32">
        <v>98.84</v>
      </c>
      <c r="I32">
        <v>0.6</v>
      </c>
      <c r="J32">
        <v>98.72</v>
      </c>
      <c r="K32">
        <v>0.47</v>
      </c>
      <c r="L32">
        <v>99.41</v>
      </c>
      <c r="M32">
        <v>0.24</v>
      </c>
      <c r="N32">
        <v>98.83</v>
      </c>
      <c r="O32">
        <v>0.31</v>
      </c>
      <c r="P32">
        <v>38.71</v>
      </c>
      <c r="Q32">
        <v>2.3199999999999998</v>
      </c>
      <c r="R32">
        <v>50.09</v>
      </c>
      <c r="S32">
        <v>2.31</v>
      </c>
      <c r="T32">
        <v>78.180000000000007</v>
      </c>
      <c r="U32">
        <v>1.89</v>
      </c>
      <c r="V32">
        <v>83.7</v>
      </c>
      <c r="W32">
        <v>1.72</v>
      </c>
      <c r="X32">
        <v>93.6</v>
      </c>
      <c r="Y32">
        <v>1.0900000000000001</v>
      </c>
      <c r="Z32">
        <v>97.31</v>
      </c>
      <c r="AA32">
        <v>0.67</v>
      </c>
      <c r="AB32">
        <v>92.11</v>
      </c>
      <c r="AC32">
        <v>1.17</v>
      </c>
      <c r="AD32">
        <v>13.72</v>
      </c>
      <c r="AE32">
        <v>1.87</v>
      </c>
      <c r="AF32">
        <v>20.16</v>
      </c>
      <c r="AG32">
        <v>2.02</v>
      </c>
      <c r="AH32">
        <v>18.559999999999999</v>
      </c>
      <c r="AI32">
        <v>2.02</v>
      </c>
      <c r="AJ32">
        <v>18.149999999999999</v>
      </c>
      <c r="AK32">
        <v>1.99</v>
      </c>
      <c r="AL32">
        <v>31.17</v>
      </c>
      <c r="AM32">
        <v>2.2200000000000002</v>
      </c>
      <c r="AN32">
        <v>69.89</v>
      </c>
      <c r="AO32">
        <v>2.1</v>
      </c>
      <c r="AP32">
        <v>18.23</v>
      </c>
      <c r="AQ32">
        <v>2</v>
      </c>
      <c r="AR32">
        <v>80.87</v>
      </c>
      <c r="AS32">
        <v>47.09</v>
      </c>
      <c r="AT32">
        <v>25.81</v>
      </c>
      <c r="AU32" s="2" t="str">
        <f t="shared" si="0"/>
        <v>44(12)</v>
      </c>
      <c r="AV32" s="2" t="str">
        <f t="shared" si="1"/>
        <v>55(9)</v>
      </c>
      <c r="AW32" s="2" t="str">
        <f t="shared" si="2"/>
        <v>81(42)</v>
      </c>
      <c r="AX32" s="2" t="str">
        <f t="shared" si="3"/>
        <v>99(2)</v>
      </c>
      <c r="AY32" s="2" t="str">
        <f t="shared" si="4"/>
        <v>98(20)</v>
      </c>
      <c r="AZ32" s="2" t="str">
        <f t="shared" si="5"/>
        <v>99(15)</v>
      </c>
      <c r="BA32" s="2" t="str">
        <f t="shared" si="6"/>
        <v>99(5)</v>
      </c>
      <c r="BB32" s="2" t="str">
        <f t="shared" si="7"/>
        <v>99(7)</v>
      </c>
      <c r="BC32" s="2" t="str">
        <f t="shared" si="8"/>
        <v>44(69)</v>
      </c>
      <c r="BD32" s="2" t="str">
        <f t="shared" si="9"/>
        <v>55(63.5)</v>
      </c>
      <c r="BE32" s="2" t="str">
        <f t="shared" si="10"/>
        <v>81(68)</v>
      </c>
      <c r="BF32" s="2" t="str">
        <f t="shared" si="11"/>
        <v>99(30)</v>
      </c>
      <c r="BG32" s="2" t="str">
        <f t="shared" si="12"/>
        <v>98(81)</v>
      </c>
      <c r="BH32" s="2" t="str">
        <f t="shared" si="13"/>
        <v>99(82)</v>
      </c>
      <c r="BI32" s="2" t="str">
        <f t="shared" si="14"/>
        <v>99(68)</v>
      </c>
      <c r="BJ32" s="2" t="str">
        <f t="shared" si="15"/>
        <v>99(82)</v>
      </c>
    </row>
    <row r="33" spans="1:62" x14ac:dyDescent="0.35">
      <c r="A33">
        <v>32</v>
      </c>
      <c r="B33">
        <v>28.93</v>
      </c>
      <c r="C33">
        <v>0.56999999999999995</v>
      </c>
      <c r="D33">
        <v>33.049999999999997</v>
      </c>
      <c r="E33">
        <v>0.59</v>
      </c>
      <c r="F33">
        <v>86.46</v>
      </c>
      <c r="G33">
        <v>0.43</v>
      </c>
      <c r="H33">
        <v>97.4</v>
      </c>
      <c r="I33">
        <v>0.2</v>
      </c>
      <c r="J33">
        <v>98.37</v>
      </c>
      <c r="K33">
        <v>0.16</v>
      </c>
      <c r="L33">
        <v>97.89</v>
      </c>
      <c r="M33">
        <v>0.19</v>
      </c>
      <c r="N33">
        <v>98.48</v>
      </c>
      <c r="O33">
        <v>0.16</v>
      </c>
      <c r="P33">
        <v>26.26</v>
      </c>
      <c r="Q33">
        <v>0.56000000000000005</v>
      </c>
      <c r="R33">
        <v>30.95</v>
      </c>
      <c r="S33">
        <v>0.57999999999999996</v>
      </c>
      <c r="T33">
        <v>75.430000000000007</v>
      </c>
      <c r="U33">
        <v>0.54</v>
      </c>
      <c r="V33">
        <v>90.42</v>
      </c>
      <c r="W33">
        <v>0.36</v>
      </c>
      <c r="X33">
        <v>93.57</v>
      </c>
      <c r="Y33">
        <v>0.3</v>
      </c>
      <c r="Z33">
        <v>95.39</v>
      </c>
      <c r="AA33">
        <v>0.27</v>
      </c>
      <c r="AB33">
        <v>94.97</v>
      </c>
      <c r="AC33">
        <v>0.27</v>
      </c>
      <c r="AD33">
        <v>10.98</v>
      </c>
      <c r="AE33">
        <v>0.42</v>
      </c>
      <c r="AF33">
        <v>15.63</v>
      </c>
      <c r="AG33">
        <v>0.47</v>
      </c>
      <c r="AH33">
        <v>39.35</v>
      </c>
      <c r="AI33">
        <v>0.62</v>
      </c>
      <c r="AJ33">
        <v>47.53</v>
      </c>
      <c r="AK33">
        <v>0.63</v>
      </c>
      <c r="AL33">
        <v>69.72</v>
      </c>
      <c r="AM33">
        <v>0.56999999999999995</v>
      </c>
      <c r="AN33">
        <v>83.73</v>
      </c>
      <c r="AO33">
        <v>0.45</v>
      </c>
      <c r="AP33">
        <v>55.23</v>
      </c>
      <c r="AQ33">
        <v>0.62</v>
      </c>
      <c r="AR33">
        <v>83.81</v>
      </c>
      <c r="AS33">
        <v>64.739999999999995</v>
      </c>
      <c r="AT33">
        <v>49.22</v>
      </c>
      <c r="AU33" s="2" t="str">
        <f t="shared" si="0"/>
        <v>29(9)</v>
      </c>
      <c r="AV33" s="2" t="str">
        <f t="shared" si="1"/>
        <v>33(6)</v>
      </c>
      <c r="AW33" s="2" t="str">
        <f t="shared" si="2"/>
        <v>84(23)</v>
      </c>
      <c r="AX33" s="2" t="str">
        <f t="shared" si="3"/>
        <v>98(3)</v>
      </c>
      <c r="AY33" s="2" t="str">
        <f t="shared" si="4"/>
        <v>86(13)</v>
      </c>
      <c r="AZ33" s="2" t="str">
        <f t="shared" si="5"/>
        <v>97(7)</v>
      </c>
      <c r="BA33" s="2" t="str">
        <f t="shared" si="6"/>
        <v>98(5)</v>
      </c>
      <c r="BB33" s="2" t="str">
        <f t="shared" si="7"/>
        <v>98(4)</v>
      </c>
      <c r="BC33" s="2" t="str">
        <f t="shared" si="8"/>
        <v>29(62)</v>
      </c>
      <c r="BD33" s="2" t="str">
        <f t="shared" si="9"/>
        <v>33(52.7)</v>
      </c>
      <c r="BE33" s="2" t="str">
        <f t="shared" si="10"/>
        <v>84(41)</v>
      </c>
      <c r="BF33" s="2" t="str">
        <f t="shared" si="11"/>
        <v>98(14)</v>
      </c>
      <c r="BG33" s="2" t="str">
        <f t="shared" si="12"/>
        <v>86(54)</v>
      </c>
      <c r="BH33" s="2" t="str">
        <f t="shared" si="13"/>
        <v>97(51)</v>
      </c>
      <c r="BI33" s="2" t="str">
        <f t="shared" si="14"/>
        <v>98(29)</v>
      </c>
      <c r="BJ33" s="2" t="str">
        <f t="shared" si="15"/>
        <v>98(44)</v>
      </c>
    </row>
    <row r="34" spans="1:62" x14ac:dyDescent="0.35">
      <c r="A34">
        <v>33</v>
      </c>
      <c r="B34">
        <v>34.6</v>
      </c>
      <c r="C34">
        <v>0.49</v>
      </c>
      <c r="D34">
        <v>35.71</v>
      </c>
      <c r="E34">
        <v>0.49</v>
      </c>
      <c r="F34">
        <v>75.42</v>
      </c>
      <c r="G34">
        <v>0.43</v>
      </c>
      <c r="H34">
        <v>94.73</v>
      </c>
      <c r="I34">
        <v>0.24</v>
      </c>
      <c r="J34">
        <v>95.69</v>
      </c>
      <c r="K34">
        <v>0.25</v>
      </c>
      <c r="L34">
        <v>97</v>
      </c>
      <c r="M34">
        <v>0.15</v>
      </c>
      <c r="N34">
        <v>95.55</v>
      </c>
      <c r="O34">
        <v>0.25</v>
      </c>
      <c r="P34">
        <v>29.58</v>
      </c>
      <c r="Q34">
        <v>0.48</v>
      </c>
      <c r="R34">
        <v>32.17</v>
      </c>
      <c r="S34">
        <v>0.48</v>
      </c>
      <c r="T34">
        <v>56.73</v>
      </c>
      <c r="U34">
        <v>0.49</v>
      </c>
      <c r="V34">
        <v>82.7</v>
      </c>
      <c r="W34">
        <v>0.36</v>
      </c>
      <c r="X34">
        <v>87.65</v>
      </c>
      <c r="Y34">
        <v>0.34</v>
      </c>
      <c r="Z34">
        <v>91.01</v>
      </c>
      <c r="AA34">
        <v>0.26</v>
      </c>
      <c r="AB34">
        <v>88.21</v>
      </c>
      <c r="AC34">
        <v>0.34</v>
      </c>
      <c r="AD34">
        <v>10.63</v>
      </c>
      <c r="AE34">
        <v>0.4</v>
      </c>
      <c r="AF34">
        <v>13.14</v>
      </c>
      <c r="AG34">
        <v>0.41</v>
      </c>
      <c r="AH34">
        <v>22.77</v>
      </c>
      <c r="AI34">
        <v>0.46</v>
      </c>
      <c r="AJ34">
        <v>35.54</v>
      </c>
      <c r="AK34">
        <v>0.5</v>
      </c>
      <c r="AL34">
        <v>57.06</v>
      </c>
      <c r="AM34">
        <v>0.49</v>
      </c>
      <c r="AN34">
        <v>70.819999999999993</v>
      </c>
      <c r="AO34">
        <v>0.43</v>
      </c>
      <c r="AP34">
        <v>41.34</v>
      </c>
      <c r="AQ34">
        <v>0.5</v>
      </c>
      <c r="AR34">
        <v>80.45</v>
      </c>
      <c r="AS34">
        <v>58.31</v>
      </c>
      <c r="AT34">
        <v>41.69</v>
      </c>
      <c r="AU34" s="2" t="str">
        <f t="shared" si="0"/>
        <v>35(15)</v>
      </c>
      <c r="AV34" s="2" t="str">
        <f t="shared" si="1"/>
        <v>36(10)</v>
      </c>
      <c r="AW34" s="2" t="str">
        <f t="shared" si="2"/>
        <v>80(28)</v>
      </c>
      <c r="AX34" s="2" t="str">
        <f t="shared" si="3"/>
        <v>97(6)</v>
      </c>
      <c r="AY34" s="2" t="str">
        <f t="shared" si="4"/>
        <v>75(25)</v>
      </c>
      <c r="AZ34" s="2" t="str">
        <f t="shared" si="5"/>
        <v>95(13)</v>
      </c>
      <c r="BA34" s="2" t="str">
        <f t="shared" si="6"/>
        <v>96(8)</v>
      </c>
      <c r="BB34" s="2" t="str">
        <f t="shared" si="7"/>
        <v>96(8)</v>
      </c>
      <c r="BC34" s="2" t="str">
        <f t="shared" si="8"/>
        <v>35(69)</v>
      </c>
      <c r="BD34" s="2" t="str">
        <f t="shared" si="9"/>
        <v>36(63.2)</v>
      </c>
      <c r="BE34" s="2" t="str">
        <f t="shared" si="10"/>
        <v>80(48)</v>
      </c>
      <c r="BF34" s="2" t="str">
        <f t="shared" si="11"/>
        <v>97(27)</v>
      </c>
      <c r="BG34" s="2" t="str">
        <f t="shared" si="12"/>
        <v>75(70)</v>
      </c>
      <c r="BH34" s="2" t="str">
        <f t="shared" si="13"/>
        <v>95(62)</v>
      </c>
      <c r="BI34" s="2" t="str">
        <f t="shared" si="14"/>
        <v>96(40)</v>
      </c>
      <c r="BJ34" s="2" t="str">
        <f t="shared" si="15"/>
        <v>96(57)</v>
      </c>
    </row>
    <row r="35" spans="1:62" x14ac:dyDescent="0.35">
      <c r="A35">
        <v>34</v>
      </c>
      <c r="B35">
        <v>17.559999999999999</v>
      </c>
      <c r="C35">
        <v>1.29</v>
      </c>
      <c r="D35">
        <v>13.63</v>
      </c>
      <c r="E35">
        <v>1.1399999999999999</v>
      </c>
      <c r="F35">
        <v>74.88</v>
      </c>
      <c r="G35">
        <v>1.53</v>
      </c>
      <c r="H35">
        <v>94.15</v>
      </c>
      <c r="I35">
        <v>0.93</v>
      </c>
      <c r="J35">
        <v>98.4</v>
      </c>
      <c r="K35">
        <v>0.37</v>
      </c>
      <c r="L35">
        <v>95.79</v>
      </c>
      <c r="M35">
        <v>0.68</v>
      </c>
      <c r="N35">
        <v>98.9</v>
      </c>
      <c r="O35">
        <v>0.33</v>
      </c>
      <c r="P35">
        <v>17.079999999999998</v>
      </c>
      <c r="Q35">
        <v>1.27</v>
      </c>
      <c r="R35">
        <v>12.85</v>
      </c>
      <c r="S35">
        <v>1.1100000000000001</v>
      </c>
      <c r="T35">
        <v>67.8</v>
      </c>
      <c r="U35">
        <v>1.65</v>
      </c>
      <c r="V35">
        <v>88.75</v>
      </c>
      <c r="W35">
        <v>1.21</v>
      </c>
      <c r="X35">
        <v>96.2</v>
      </c>
      <c r="Y35">
        <v>0.67</v>
      </c>
      <c r="Z35">
        <v>93.61</v>
      </c>
      <c r="AA35">
        <v>0.84</v>
      </c>
      <c r="AB35">
        <v>96.89</v>
      </c>
      <c r="AC35">
        <v>0.61</v>
      </c>
      <c r="AD35">
        <v>14.48</v>
      </c>
      <c r="AE35">
        <v>1.19</v>
      </c>
      <c r="AF35">
        <v>10.88</v>
      </c>
      <c r="AG35">
        <v>1.03</v>
      </c>
      <c r="AH35">
        <v>57.23</v>
      </c>
      <c r="AI35">
        <v>1.75</v>
      </c>
      <c r="AJ35">
        <v>74.63</v>
      </c>
      <c r="AK35">
        <v>1.57</v>
      </c>
      <c r="AL35">
        <v>86.06</v>
      </c>
      <c r="AM35">
        <v>1.25</v>
      </c>
      <c r="AN35">
        <v>85.73</v>
      </c>
      <c r="AO35">
        <v>1.24</v>
      </c>
      <c r="AP35">
        <v>82.33</v>
      </c>
      <c r="AQ35">
        <v>1.38</v>
      </c>
      <c r="AR35">
        <v>85.37</v>
      </c>
      <c r="AS35">
        <v>79.13</v>
      </c>
      <c r="AT35">
        <v>73.33</v>
      </c>
      <c r="AU35" s="2" t="str">
        <f t="shared" si="0"/>
        <v>18(3)</v>
      </c>
      <c r="AV35" s="2" t="str">
        <f t="shared" si="1"/>
        <v>14(6)</v>
      </c>
      <c r="AW35" s="2" t="str">
        <f t="shared" si="2"/>
        <v>85(7)</v>
      </c>
      <c r="AX35" s="2" t="str">
        <f t="shared" si="3"/>
        <v>96(2)</v>
      </c>
      <c r="AY35" s="2" t="str">
        <f t="shared" si="4"/>
        <v>75(9)</v>
      </c>
      <c r="AZ35" s="2" t="str">
        <f t="shared" si="5"/>
        <v>94(6)</v>
      </c>
      <c r="BA35" s="2" t="str">
        <f t="shared" si="6"/>
        <v>98(2)</v>
      </c>
      <c r="BB35" s="2" t="str">
        <f t="shared" si="7"/>
        <v>99(2)</v>
      </c>
      <c r="BC35" s="2" t="str">
        <f t="shared" si="8"/>
        <v>18(18)</v>
      </c>
      <c r="BD35" s="2" t="str">
        <f t="shared" si="9"/>
        <v>14(20.2)</v>
      </c>
      <c r="BE35" s="2" t="str">
        <f t="shared" si="10"/>
        <v>85(14)</v>
      </c>
      <c r="BF35" s="2" t="str">
        <f t="shared" si="11"/>
        <v>96(11)</v>
      </c>
      <c r="BG35" s="2" t="str">
        <f t="shared" si="12"/>
        <v>75(24)</v>
      </c>
      <c r="BH35" s="2" t="str">
        <f t="shared" si="13"/>
        <v>94(21)</v>
      </c>
      <c r="BI35" s="2" t="str">
        <f t="shared" si="14"/>
        <v>98(13)</v>
      </c>
      <c r="BJ35" s="2" t="str">
        <f t="shared" si="15"/>
        <v>99(17)</v>
      </c>
    </row>
    <row r="36" spans="1:62" x14ac:dyDescent="0.35">
      <c r="A36">
        <v>35</v>
      </c>
      <c r="B36">
        <v>11.62</v>
      </c>
      <c r="C36">
        <v>1.1100000000000001</v>
      </c>
      <c r="D36">
        <v>29.52</v>
      </c>
      <c r="E36">
        <v>1.53</v>
      </c>
      <c r="F36">
        <v>75.55</v>
      </c>
      <c r="G36">
        <v>1.48</v>
      </c>
      <c r="H36">
        <v>91.63</v>
      </c>
      <c r="I36">
        <v>0.95</v>
      </c>
      <c r="J36">
        <v>97.81</v>
      </c>
      <c r="K36">
        <v>0.49</v>
      </c>
      <c r="L36">
        <v>98.73</v>
      </c>
      <c r="M36">
        <v>0.42</v>
      </c>
      <c r="N36">
        <v>97.33</v>
      </c>
      <c r="O36">
        <v>0.56000000000000005</v>
      </c>
      <c r="P36">
        <v>10.81</v>
      </c>
      <c r="Q36">
        <v>1.07</v>
      </c>
      <c r="R36">
        <v>27.18</v>
      </c>
      <c r="S36">
        <v>1.49</v>
      </c>
      <c r="T36">
        <v>61.3</v>
      </c>
      <c r="U36">
        <v>1.65</v>
      </c>
      <c r="V36">
        <v>80.66</v>
      </c>
      <c r="W36">
        <v>1.33</v>
      </c>
      <c r="X36">
        <v>92.56</v>
      </c>
      <c r="Y36">
        <v>0.88</v>
      </c>
      <c r="Z36">
        <v>97</v>
      </c>
      <c r="AA36">
        <v>0.61</v>
      </c>
      <c r="AB36">
        <v>91.6</v>
      </c>
      <c r="AC36">
        <v>0.94</v>
      </c>
      <c r="AD36">
        <v>6.5</v>
      </c>
      <c r="AE36">
        <v>0.88</v>
      </c>
      <c r="AF36">
        <v>12.96</v>
      </c>
      <c r="AG36">
        <v>1.1599999999999999</v>
      </c>
      <c r="AH36">
        <v>36.21</v>
      </c>
      <c r="AI36">
        <v>1.66</v>
      </c>
      <c r="AJ36">
        <v>43.94</v>
      </c>
      <c r="AK36">
        <v>1.7</v>
      </c>
      <c r="AL36">
        <v>63.36</v>
      </c>
      <c r="AM36">
        <v>1.61</v>
      </c>
      <c r="AN36">
        <v>85.85</v>
      </c>
      <c r="AO36">
        <v>1.18</v>
      </c>
      <c r="AP36">
        <v>52.49</v>
      </c>
      <c r="AQ36">
        <v>1.69</v>
      </c>
      <c r="AR36">
        <v>85.3</v>
      </c>
      <c r="AS36">
        <v>66.319999999999993</v>
      </c>
      <c r="AT36">
        <v>51.41</v>
      </c>
      <c r="AU36" s="2" t="str">
        <f t="shared" si="0"/>
        <v>12(7)</v>
      </c>
      <c r="AV36" s="2" t="str">
        <f t="shared" si="1"/>
        <v>30(8)</v>
      </c>
      <c r="AW36" s="2" t="str">
        <f t="shared" si="2"/>
        <v>85(22)</v>
      </c>
      <c r="AX36" s="2" t="str">
        <f t="shared" si="3"/>
        <v>99(2)</v>
      </c>
      <c r="AY36" s="2" t="str">
        <f t="shared" si="4"/>
        <v>76(19)</v>
      </c>
      <c r="AZ36" s="2" t="str">
        <f t="shared" si="5"/>
        <v>92(12)</v>
      </c>
      <c r="BA36" s="2" t="str">
        <f t="shared" si="6"/>
        <v>98(5)</v>
      </c>
      <c r="BB36" s="2" t="str">
        <f t="shared" si="7"/>
        <v>97(6)</v>
      </c>
      <c r="BC36" s="2" t="str">
        <f t="shared" si="8"/>
        <v>12(44)</v>
      </c>
      <c r="BD36" s="2" t="str">
        <f t="shared" si="9"/>
        <v>30(56.1)</v>
      </c>
      <c r="BE36" s="2" t="str">
        <f t="shared" si="10"/>
        <v>85(40)</v>
      </c>
      <c r="BF36" s="2" t="str">
        <f t="shared" si="11"/>
        <v>99(13)</v>
      </c>
      <c r="BG36" s="2" t="str">
        <f t="shared" si="12"/>
        <v>76(52)</v>
      </c>
      <c r="BH36" s="2" t="str">
        <f t="shared" si="13"/>
        <v>92(52)</v>
      </c>
      <c r="BI36" s="2" t="str">
        <f t="shared" si="14"/>
        <v>98(35)</v>
      </c>
      <c r="BJ36" s="2" t="str">
        <f t="shared" si="15"/>
        <v>97(46)</v>
      </c>
    </row>
    <row r="37" spans="1:62" x14ac:dyDescent="0.35">
      <c r="A37">
        <v>36</v>
      </c>
      <c r="B37">
        <v>62.27</v>
      </c>
      <c r="C37">
        <v>0.72</v>
      </c>
      <c r="D37">
        <v>45.46</v>
      </c>
      <c r="E37">
        <v>0.79</v>
      </c>
      <c r="F37">
        <v>73.17</v>
      </c>
      <c r="G37">
        <v>0.66</v>
      </c>
      <c r="H37">
        <v>89.3</v>
      </c>
      <c r="I37">
        <v>0.44</v>
      </c>
      <c r="J37">
        <v>97.94</v>
      </c>
      <c r="K37">
        <v>0.19</v>
      </c>
      <c r="L37">
        <v>98.04</v>
      </c>
      <c r="M37">
        <v>0.2</v>
      </c>
      <c r="N37">
        <v>97.9</v>
      </c>
      <c r="O37">
        <v>0.22</v>
      </c>
      <c r="P37">
        <v>54</v>
      </c>
      <c r="Q37">
        <v>0.76</v>
      </c>
      <c r="R37">
        <v>39.76</v>
      </c>
      <c r="S37">
        <v>0.8</v>
      </c>
      <c r="T37">
        <v>46.94</v>
      </c>
      <c r="U37">
        <v>0.78</v>
      </c>
      <c r="V37">
        <v>67.09</v>
      </c>
      <c r="W37">
        <v>0.69</v>
      </c>
      <c r="X37">
        <v>86.68</v>
      </c>
      <c r="Y37">
        <v>0.46</v>
      </c>
      <c r="Z37">
        <v>90.97</v>
      </c>
      <c r="AA37">
        <v>0.41</v>
      </c>
      <c r="AB37">
        <v>89.83</v>
      </c>
      <c r="AC37">
        <v>0.42</v>
      </c>
      <c r="AD37">
        <v>20.99</v>
      </c>
      <c r="AE37">
        <v>0.76</v>
      </c>
      <c r="AF37">
        <v>16.16</v>
      </c>
      <c r="AG37">
        <v>0.74</v>
      </c>
      <c r="AH37">
        <v>24.58</v>
      </c>
      <c r="AI37">
        <v>0.77</v>
      </c>
      <c r="AJ37">
        <v>32.659999999999997</v>
      </c>
      <c r="AK37">
        <v>0.8</v>
      </c>
      <c r="AL37">
        <v>47.52</v>
      </c>
      <c r="AM37">
        <v>0.78</v>
      </c>
      <c r="AN37">
        <v>63.36</v>
      </c>
      <c r="AO37">
        <v>0.71</v>
      </c>
      <c r="AP37">
        <v>39.880000000000003</v>
      </c>
      <c r="AQ37">
        <v>0.79</v>
      </c>
      <c r="AR37">
        <v>90.84</v>
      </c>
      <c r="AS37">
        <v>63.47</v>
      </c>
      <c r="AT37">
        <v>44.7</v>
      </c>
      <c r="AU37" s="2" t="str">
        <f t="shared" si="0"/>
        <v>62(13)</v>
      </c>
      <c r="AV37" s="2" t="str">
        <f t="shared" si="1"/>
        <v>45(13)</v>
      </c>
      <c r="AW37" s="2" t="str">
        <f t="shared" si="2"/>
        <v>91(30)</v>
      </c>
      <c r="AX37" s="2" t="str">
        <f t="shared" si="3"/>
        <v>98(7)</v>
      </c>
      <c r="AY37" s="2" t="str">
        <f t="shared" si="4"/>
        <v>73(36)</v>
      </c>
      <c r="AZ37" s="2" t="str">
        <f t="shared" si="5"/>
        <v>89(25)</v>
      </c>
      <c r="BA37" s="2" t="str">
        <f t="shared" si="6"/>
        <v>98(11)</v>
      </c>
      <c r="BB37" s="2" t="str">
        <f t="shared" si="7"/>
        <v>98(8)</v>
      </c>
      <c r="BC37" s="2" t="str">
        <f t="shared" si="8"/>
        <v>62(66)</v>
      </c>
      <c r="BD37" s="2" t="str">
        <f t="shared" si="9"/>
        <v>45(64.5)</v>
      </c>
      <c r="BE37" s="2" t="str">
        <f t="shared" si="10"/>
        <v>91(51)</v>
      </c>
      <c r="BF37" s="2" t="str">
        <f t="shared" si="11"/>
        <v>98(35)</v>
      </c>
      <c r="BG37" s="2" t="str">
        <f t="shared" si="12"/>
        <v>73(66)</v>
      </c>
      <c r="BH37" s="2" t="str">
        <f t="shared" si="13"/>
        <v>89(63)</v>
      </c>
      <c r="BI37" s="2" t="str">
        <f t="shared" si="14"/>
        <v>98(51)</v>
      </c>
      <c r="BJ37" s="2" t="str">
        <f t="shared" si="15"/>
        <v>98(59)</v>
      </c>
    </row>
    <row r="38" spans="1:62" x14ac:dyDescent="0.35">
      <c r="A38">
        <v>37</v>
      </c>
      <c r="B38">
        <v>53.76</v>
      </c>
      <c r="C38">
        <v>2.2799999999999998</v>
      </c>
      <c r="D38">
        <v>7.21</v>
      </c>
      <c r="E38">
        <v>1.0900000000000001</v>
      </c>
      <c r="F38">
        <v>25.41</v>
      </c>
      <c r="G38">
        <v>2.0099999999999998</v>
      </c>
      <c r="H38">
        <v>90.41</v>
      </c>
      <c r="I38">
        <v>1.31</v>
      </c>
      <c r="J38">
        <v>96.32</v>
      </c>
      <c r="K38">
        <v>0.81</v>
      </c>
      <c r="L38">
        <v>94.54</v>
      </c>
      <c r="M38">
        <v>1.06</v>
      </c>
      <c r="N38">
        <v>91.42</v>
      </c>
      <c r="O38">
        <v>1.21</v>
      </c>
      <c r="P38">
        <v>46.86</v>
      </c>
      <c r="Q38">
        <v>2.29</v>
      </c>
      <c r="R38">
        <v>4.8899999999999997</v>
      </c>
      <c r="S38">
        <v>0.84</v>
      </c>
      <c r="T38">
        <v>10.5</v>
      </c>
      <c r="U38">
        <v>1.38</v>
      </c>
      <c r="V38">
        <v>75.760000000000005</v>
      </c>
      <c r="W38">
        <v>1.97</v>
      </c>
      <c r="X38">
        <v>84.64</v>
      </c>
      <c r="Y38">
        <v>1.64</v>
      </c>
      <c r="Z38">
        <v>86.68</v>
      </c>
      <c r="AA38">
        <v>1.59</v>
      </c>
      <c r="AB38">
        <v>77.53</v>
      </c>
      <c r="AC38">
        <v>1.91</v>
      </c>
      <c r="AD38">
        <v>2.79</v>
      </c>
      <c r="AE38">
        <v>0.52</v>
      </c>
      <c r="AF38">
        <v>1.62</v>
      </c>
      <c r="AG38">
        <v>0.39</v>
      </c>
      <c r="AH38">
        <v>1.31</v>
      </c>
      <c r="AI38">
        <v>0.3</v>
      </c>
      <c r="AJ38">
        <v>11.8</v>
      </c>
      <c r="AK38">
        <v>1.34</v>
      </c>
      <c r="AL38">
        <v>43.97</v>
      </c>
      <c r="AM38">
        <v>2.27</v>
      </c>
      <c r="AN38">
        <v>70.77</v>
      </c>
      <c r="AO38">
        <v>2.08</v>
      </c>
      <c r="AP38">
        <v>12.79</v>
      </c>
      <c r="AQ38">
        <v>1.39</v>
      </c>
      <c r="AR38">
        <v>81.28</v>
      </c>
      <c r="AS38">
        <v>55.69</v>
      </c>
      <c r="AT38">
        <v>34.97</v>
      </c>
      <c r="AU38" s="2" t="str">
        <f t="shared" si="0"/>
        <v>54(13)</v>
      </c>
      <c r="AV38" s="2" t="str">
        <f t="shared" si="1"/>
        <v>7(32)</v>
      </c>
      <c r="AW38" s="2" t="str">
        <f t="shared" si="2"/>
        <v>81(31)</v>
      </c>
      <c r="AX38" s="2" t="str">
        <f t="shared" si="3"/>
        <v>95(8)</v>
      </c>
      <c r="AY38" s="2" t="str">
        <f t="shared" si="4"/>
        <v>25(59)</v>
      </c>
      <c r="AZ38" s="2" t="str">
        <f t="shared" si="5"/>
        <v>90(16)</v>
      </c>
      <c r="BA38" s="2" t="str">
        <f t="shared" si="6"/>
        <v>96(12)</v>
      </c>
      <c r="BB38" s="2" t="str">
        <f t="shared" si="7"/>
        <v>91(15)</v>
      </c>
      <c r="BC38" s="2" t="str">
        <f t="shared" si="8"/>
        <v>54(95)</v>
      </c>
      <c r="BD38" s="2" t="str">
        <f t="shared" si="9"/>
        <v>7(77.5)</v>
      </c>
      <c r="BE38" s="2" t="str">
        <f t="shared" si="10"/>
        <v>81(57)</v>
      </c>
      <c r="BF38" s="2" t="str">
        <f t="shared" si="11"/>
        <v>95(25)</v>
      </c>
      <c r="BG38" s="2" t="str">
        <f t="shared" si="12"/>
        <v>25(95)</v>
      </c>
      <c r="BH38" s="2" t="str">
        <f t="shared" si="13"/>
        <v>90(87)</v>
      </c>
      <c r="BI38" s="2" t="str">
        <f t="shared" si="14"/>
        <v>96(54)</v>
      </c>
      <c r="BJ38" s="2" t="str">
        <f t="shared" si="15"/>
        <v>91(86)</v>
      </c>
    </row>
    <row r="39" spans="1:62" x14ac:dyDescent="0.35">
      <c r="A39" t="s">
        <v>64</v>
      </c>
      <c r="B39">
        <v>48.22</v>
      </c>
      <c r="C39">
        <v>0.39</v>
      </c>
      <c r="D39">
        <v>63.22</v>
      </c>
      <c r="E39">
        <v>0.41</v>
      </c>
      <c r="F39">
        <v>36.68</v>
      </c>
      <c r="G39">
        <v>0.34</v>
      </c>
      <c r="H39">
        <v>88.54</v>
      </c>
      <c r="I39">
        <v>0.22</v>
      </c>
      <c r="J39">
        <v>96.43</v>
      </c>
      <c r="K39">
        <v>0.17</v>
      </c>
      <c r="L39">
        <v>99.43</v>
      </c>
      <c r="M39">
        <v>0.04</v>
      </c>
      <c r="N39">
        <v>88.74</v>
      </c>
      <c r="O39">
        <v>0.21</v>
      </c>
      <c r="P39">
        <v>42.74</v>
      </c>
      <c r="Q39">
        <v>0.39</v>
      </c>
      <c r="R39">
        <v>59.91</v>
      </c>
      <c r="S39">
        <v>0.41</v>
      </c>
      <c r="T39">
        <v>24.85</v>
      </c>
      <c r="U39">
        <v>0.28000000000000003</v>
      </c>
      <c r="V39">
        <v>72.42</v>
      </c>
      <c r="W39">
        <v>0.31</v>
      </c>
      <c r="X39">
        <v>88.17</v>
      </c>
      <c r="Y39">
        <v>0.22</v>
      </c>
      <c r="Z39">
        <v>97.05</v>
      </c>
      <c r="AA39">
        <v>0.09</v>
      </c>
      <c r="AB39">
        <v>78.78</v>
      </c>
      <c r="AC39">
        <v>0.26</v>
      </c>
      <c r="AD39">
        <v>14.54</v>
      </c>
      <c r="AE39">
        <v>0.34</v>
      </c>
      <c r="AF39">
        <v>28.49</v>
      </c>
      <c r="AG39">
        <v>0.28999999999999998</v>
      </c>
      <c r="AH39">
        <v>8.35</v>
      </c>
      <c r="AI39">
        <v>0.14000000000000001</v>
      </c>
      <c r="AJ39">
        <v>32.83</v>
      </c>
      <c r="AK39">
        <v>0.39</v>
      </c>
      <c r="AL39">
        <v>56.36</v>
      </c>
      <c r="AM39">
        <v>0.36</v>
      </c>
      <c r="AN39">
        <v>83.11</v>
      </c>
      <c r="AO39">
        <v>0.21</v>
      </c>
      <c r="AP39">
        <v>34.090000000000003</v>
      </c>
      <c r="AQ39">
        <v>0.42</v>
      </c>
      <c r="AR39">
        <v>74.64</v>
      </c>
      <c r="AS39">
        <v>53.39</v>
      </c>
      <c r="AT39">
        <v>37.81</v>
      </c>
      <c r="AU39" s="2" t="str">
        <f t="shared" si="0"/>
        <v>48(11)</v>
      </c>
      <c r="AV39" s="2" t="str">
        <f t="shared" si="1"/>
        <v>63(5)</v>
      </c>
      <c r="AW39" s="2" t="str">
        <f t="shared" si="2"/>
        <v>75(28)</v>
      </c>
      <c r="AX39" s="2" t="str">
        <f t="shared" si="3"/>
        <v>99(2)</v>
      </c>
      <c r="AY39" s="2" t="str">
        <f t="shared" si="4"/>
        <v>37(32)</v>
      </c>
      <c r="AZ39" s="2" t="str">
        <f t="shared" si="5"/>
        <v>89(18)</v>
      </c>
      <c r="BA39" s="2" t="str">
        <f t="shared" si="6"/>
        <v>96(9)</v>
      </c>
      <c r="BB39" s="2" t="str">
        <f t="shared" si="7"/>
        <v>89(11)</v>
      </c>
      <c r="BC39" s="2" t="str">
        <f t="shared" si="8"/>
        <v>48(70)</v>
      </c>
      <c r="BD39" s="2" t="str">
        <f t="shared" si="9"/>
        <v>63(54.9)</v>
      </c>
      <c r="BE39" s="2" t="str">
        <f t="shared" si="10"/>
        <v>75(49)</v>
      </c>
      <c r="BF39" s="2" t="str">
        <f t="shared" si="11"/>
        <v>99(16)</v>
      </c>
      <c r="BG39" s="2" t="str">
        <f t="shared" si="12"/>
        <v>37(77)</v>
      </c>
      <c r="BH39" s="2" t="str">
        <f t="shared" si="13"/>
        <v>89(63)</v>
      </c>
      <c r="BI39" s="2" t="str">
        <f t="shared" si="14"/>
        <v>96(42)</v>
      </c>
      <c r="BJ39" s="2" t="str">
        <f t="shared" si="15"/>
        <v>89(62)</v>
      </c>
    </row>
    <row r="40" spans="1:62" x14ac:dyDescent="0.35">
      <c r="A40" t="s">
        <v>65</v>
      </c>
      <c r="B40">
        <v>38.71</v>
      </c>
      <c r="C40">
        <v>0.28999999999999998</v>
      </c>
      <c r="D40">
        <v>54.18</v>
      </c>
      <c r="E40">
        <v>0.28000000000000003</v>
      </c>
      <c r="F40">
        <v>36.6</v>
      </c>
      <c r="G40">
        <v>0.26</v>
      </c>
      <c r="H40">
        <v>87.22</v>
      </c>
      <c r="I40">
        <v>0.17</v>
      </c>
      <c r="J40">
        <v>95.78</v>
      </c>
      <c r="K40">
        <v>0.1</v>
      </c>
      <c r="L40">
        <v>98.79</v>
      </c>
      <c r="M40">
        <v>0.06</v>
      </c>
      <c r="N40">
        <v>86.93</v>
      </c>
      <c r="O40">
        <v>0.17</v>
      </c>
      <c r="P40">
        <v>33.82</v>
      </c>
      <c r="Q40">
        <v>0.28999999999999998</v>
      </c>
      <c r="R40">
        <v>50.76</v>
      </c>
      <c r="S40">
        <v>0.28000000000000003</v>
      </c>
      <c r="T40">
        <v>23.46</v>
      </c>
      <c r="U40">
        <v>0.22</v>
      </c>
      <c r="V40">
        <v>71.040000000000006</v>
      </c>
      <c r="W40">
        <v>0.24</v>
      </c>
      <c r="X40">
        <v>86.82</v>
      </c>
      <c r="Y40">
        <v>0.18</v>
      </c>
      <c r="Z40">
        <v>95.81</v>
      </c>
      <c r="AA40">
        <v>0.1</v>
      </c>
      <c r="AB40">
        <v>76.959999999999994</v>
      </c>
      <c r="AC40">
        <v>0.22</v>
      </c>
      <c r="AD40">
        <v>13.05</v>
      </c>
      <c r="AE40">
        <v>0.22</v>
      </c>
      <c r="AF40">
        <v>23.95</v>
      </c>
      <c r="AG40">
        <v>0.22</v>
      </c>
      <c r="AH40">
        <v>8.43</v>
      </c>
      <c r="AI40">
        <v>0.14000000000000001</v>
      </c>
      <c r="AJ40">
        <v>35.81</v>
      </c>
      <c r="AK40">
        <v>0.27</v>
      </c>
      <c r="AL40">
        <v>55.77</v>
      </c>
      <c r="AM40">
        <v>0.27</v>
      </c>
      <c r="AN40">
        <v>80.66</v>
      </c>
      <c r="AO40">
        <v>0.21</v>
      </c>
      <c r="AP40">
        <v>34.909999999999997</v>
      </c>
      <c r="AQ40">
        <v>0.27</v>
      </c>
      <c r="AR40">
        <v>71.459999999999994</v>
      </c>
      <c r="AS40">
        <v>51.56</v>
      </c>
      <c r="AT40">
        <v>37.5</v>
      </c>
      <c r="AU40" s="2" t="str">
        <f t="shared" si="0"/>
        <v>39(13)</v>
      </c>
      <c r="AV40" s="2" t="str">
        <f t="shared" si="1"/>
        <v>54(6)</v>
      </c>
      <c r="AW40" s="2" t="str">
        <f t="shared" si="2"/>
        <v>71(28)</v>
      </c>
      <c r="AX40" s="2" t="str">
        <f t="shared" si="3"/>
        <v>99(3)</v>
      </c>
      <c r="AY40" s="2" t="str">
        <f t="shared" si="4"/>
        <v>37(36)</v>
      </c>
      <c r="AZ40" s="2" t="str">
        <f t="shared" si="5"/>
        <v>87(19)</v>
      </c>
      <c r="BA40" s="2" t="str">
        <f t="shared" si="6"/>
        <v>96(9)</v>
      </c>
      <c r="BB40" s="2" t="str">
        <f t="shared" si="7"/>
        <v>87(11)</v>
      </c>
      <c r="BC40" s="2" t="str">
        <f t="shared" si="8"/>
        <v>39(66)</v>
      </c>
      <c r="BD40" s="2" t="str">
        <f t="shared" si="9"/>
        <v>54(55.8)</v>
      </c>
      <c r="BE40" s="2" t="str">
        <f t="shared" si="10"/>
        <v>71(48)</v>
      </c>
      <c r="BF40" s="2" t="str">
        <f t="shared" si="11"/>
        <v>99(18)</v>
      </c>
      <c r="BG40" s="2" t="str">
        <f t="shared" si="12"/>
        <v>37(77)</v>
      </c>
      <c r="BH40" s="2" t="str">
        <f t="shared" si="13"/>
        <v>87(59)</v>
      </c>
      <c r="BI40" s="2" t="str">
        <f t="shared" si="14"/>
        <v>96(42)</v>
      </c>
      <c r="BJ40" s="2" t="str">
        <f t="shared" si="15"/>
        <v>87(60)</v>
      </c>
    </row>
    <row r="41" spans="1:62" x14ac:dyDescent="0.35">
      <c r="A41" t="s">
        <v>66</v>
      </c>
      <c r="B41">
        <v>34.57</v>
      </c>
      <c r="C41">
        <v>0.25</v>
      </c>
      <c r="D41">
        <v>45.7</v>
      </c>
      <c r="E41">
        <v>0.26</v>
      </c>
      <c r="F41">
        <v>39.78</v>
      </c>
      <c r="G41">
        <v>0.25</v>
      </c>
      <c r="H41">
        <v>87.8</v>
      </c>
      <c r="I41">
        <v>0.17</v>
      </c>
      <c r="J41">
        <v>95.47</v>
      </c>
      <c r="K41">
        <v>0.11</v>
      </c>
      <c r="L41">
        <v>98.21</v>
      </c>
      <c r="M41">
        <v>7.0000000000000007E-2</v>
      </c>
      <c r="N41">
        <v>87.47</v>
      </c>
      <c r="O41">
        <v>0.17</v>
      </c>
      <c r="P41">
        <v>30.21</v>
      </c>
      <c r="Q41">
        <v>0.24</v>
      </c>
      <c r="R41">
        <v>42.57</v>
      </c>
      <c r="S41">
        <v>0.26</v>
      </c>
      <c r="T41">
        <v>26.17</v>
      </c>
      <c r="U41">
        <v>0.23</v>
      </c>
      <c r="V41">
        <v>72.75</v>
      </c>
      <c r="W41">
        <v>0.23</v>
      </c>
      <c r="X41">
        <v>86.7</v>
      </c>
      <c r="Y41">
        <v>0.18</v>
      </c>
      <c r="Z41">
        <v>94.49</v>
      </c>
      <c r="AA41">
        <v>0.12</v>
      </c>
      <c r="AB41">
        <v>78.680000000000007</v>
      </c>
      <c r="AC41">
        <v>0.21</v>
      </c>
      <c r="AD41">
        <v>13.19</v>
      </c>
      <c r="AE41">
        <v>0.18</v>
      </c>
      <c r="AF41">
        <v>20.71</v>
      </c>
      <c r="AG41">
        <v>0.21</v>
      </c>
      <c r="AH41">
        <v>10.53</v>
      </c>
      <c r="AI41">
        <v>0.16</v>
      </c>
      <c r="AJ41">
        <v>39.68</v>
      </c>
      <c r="AK41">
        <v>0.25</v>
      </c>
      <c r="AL41">
        <v>57.22</v>
      </c>
      <c r="AM41">
        <v>0.26</v>
      </c>
      <c r="AN41">
        <v>78.72</v>
      </c>
      <c r="AO41">
        <v>0.21</v>
      </c>
      <c r="AP41">
        <v>38.6</v>
      </c>
      <c r="AQ41">
        <v>0.25</v>
      </c>
      <c r="AR41">
        <v>71.59</v>
      </c>
      <c r="AS41">
        <v>52.49</v>
      </c>
      <c r="AT41">
        <v>39.130000000000003</v>
      </c>
      <c r="AU41" s="2" t="str">
        <f t="shared" si="0"/>
        <v>35(13)</v>
      </c>
      <c r="AV41" s="2" t="str">
        <f t="shared" si="1"/>
        <v>46(7)</v>
      </c>
      <c r="AW41" s="2" t="str">
        <f t="shared" si="2"/>
        <v>72(27)</v>
      </c>
      <c r="AX41" s="2" t="str">
        <f t="shared" si="3"/>
        <v>98(4)</v>
      </c>
      <c r="AY41" s="2" t="str">
        <f t="shared" si="4"/>
        <v>40(34)</v>
      </c>
      <c r="AZ41" s="2" t="str">
        <f t="shared" si="5"/>
        <v>88(17)</v>
      </c>
      <c r="BA41" s="2" t="str">
        <f t="shared" si="6"/>
        <v>95(9)</v>
      </c>
      <c r="BB41" s="2" t="str">
        <f t="shared" si="7"/>
        <v>87(10)</v>
      </c>
      <c r="BC41" s="2" t="str">
        <f t="shared" si="8"/>
        <v>35(62)</v>
      </c>
      <c r="BD41" s="2" t="str">
        <f t="shared" si="9"/>
        <v>46(54.7)</v>
      </c>
      <c r="BE41" s="2" t="str">
        <f t="shared" si="10"/>
        <v>72(45)</v>
      </c>
      <c r="BF41" s="2" t="str">
        <f t="shared" si="11"/>
        <v>98(20)</v>
      </c>
      <c r="BG41" s="2" t="str">
        <f t="shared" si="12"/>
        <v>40(74)</v>
      </c>
      <c r="BH41" s="2" t="str">
        <f t="shared" si="13"/>
        <v>88(55)</v>
      </c>
      <c r="BI41" s="2" t="str">
        <f t="shared" si="14"/>
        <v>95(40)</v>
      </c>
      <c r="BJ41" s="2" t="str">
        <f t="shared" si="15"/>
        <v>87(56)</v>
      </c>
    </row>
    <row r="42" spans="1:62" x14ac:dyDescent="0.35">
      <c r="A42" t="s">
        <v>67</v>
      </c>
      <c r="B42">
        <v>30.62</v>
      </c>
      <c r="C42">
        <v>0.26</v>
      </c>
      <c r="D42">
        <v>37.01</v>
      </c>
      <c r="E42">
        <v>0.27</v>
      </c>
      <c r="F42">
        <v>40.47</v>
      </c>
      <c r="G42">
        <v>0.27</v>
      </c>
      <c r="H42">
        <v>88.15</v>
      </c>
      <c r="I42">
        <v>0.17</v>
      </c>
      <c r="J42">
        <v>94.68</v>
      </c>
      <c r="K42">
        <v>0.12</v>
      </c>
      <c r="L42">
        <v>97.75</v>
      </c>
      <c r="M42">
        <v>0.08</v>
      </c>
      <c r="N42">
        <v>87.6</v>
      </c>
      <c r="O42">
        <v>0.18</v>
      </c>
      <c r="P42">
        <v>26.85</v>
      </c>
      <c r="Q42">
        <v>0.25</v>
      </c>
      <c r="R42">
        <v>34.340000000000003</v>
      </c>
      <c r="S42">
        <v>0.26</v>
      </c>
      <c r="T42">
        <v>28.11</v>
      </c>
      <c r="U42">
        <v>0.25</v>
      </c>
      <c r="V42">
        <v>74.91</v>
      </c>
      <c r="W42">
        <v>0.23</v>
      </c>
      <c r="X42">
        <v>86.39</v>
      </c>
      <c r="Y42">
        <v>0.18</v>
      </c>
      <c r="Z42">
        <v>93.7</v>
      </c>
      <c r="AA42">
        <v>0.13</v>
      </c>
      <c r="AB42">
        <v>79.75</v>
      </c>
      <c r="AC42">
        <v>0.21</v>
      </c>
      <c r="AD42">
        <v>14.04</v>
      </c>
      <c r="AE42">
        <v>0.2</v>
      </c>
      <c r="AF42">
        <v>18.77</v>
      </c>
      <c r="AG42">
        <v>0.22</v>
      </c>
      <c r="AH42">
        <v>13.72</v>
      </c>
      <c r="AI42">
        <v>0.2</v>
      </c>
      <c r="AJ42">
        <v>45.47</v>
      </c>
      <c r="AK42">
        <v>0.27</v>
      </c>
      <c r="AL42">
        <v>59.72</v>
      </c>
      <c r="AM42">
        <v>0.27</v>
      </c>
      <c r="AN42">
        <v>79.14</v>
      </c>
      <c r="AO42">
        <v>0.22</v>
      </c>
      <c r="AP42">
        <v>44.38</v>
      </c>
      <c r="AQ42">
        <v>0.27</v>
      </c>
      <c r="AR42">
        <v>70.680000000000007</v>
      </c>
      <c r="AS42">
        <v>53.65</v>
      </c>
      <c r="AT42">
        <v>42.01</v>
      </c>
      <c r="AU42" s="2" t="str">
        <f t="shared" si="0"/>
        <v>31(12)</v>
      </c>
      <c r="AV42" s="2" t="str">
        <f t="shared" si="1"/>
        <v>37(7)</v>
      </c>
      <c r="AW42" s="2" t="str">
        <f t="shared" si="2"/>
        <v>71(24)</v>
      </c>
      <c r="AX42" s="2" t="str">
        <f t="shared" si="3"/>
        <v>98(4)</v>
      </c>
      <c r="AY42" s="2" t="str">
        <f t="shared" si="4"/>
        <v>40(31)</v>
      </c>
      <c r="AZ42" s="2" t="str">
        <f t="shared" si="5"/>
        <v>88(15)</v>
      </c>
      <c r="BA42" s="2" t="str">
        <f t="shared" si="6"/>
        <v>95(9)</v>
      </c>
      <c r="BB42" s="2" t="str">
        <f t="shared" si="7"/>
        <v>88(9)</v>
      </c>
      <c r="BC42" s="2" t="str">
        <f t="shared" si="8"/>
        <v>31(54)</v>
      </c>
      <c r="BD42" s="2" t="str">
        <f t="shared" si="9"/>
        <v>37(49.3)</v>
      </c>
      <c r="BE42" s="2" t="str">
        <f t="shared" si="10"/>
        <v>71(41)</v>
      </c>
      <c r="BF42" s="2" t="str">
        <f t="shared" si="11"/>
        <v>98(19)</v>
      </c>
      <c r="BG42" s="2" t="str">
        <f t="shared" si="12"/>
        <v>40(66)</v>
      </c>
      <c r="BH42" s="2" t="str">
        <f t="shared" si="13"/>
        <v>88(48)</v>
      </c>
      <c r="BI42" s="2" t="str">
        <f t="shared" si="14"/>
        <v>95(37)</v>
      </c>
      <c r="BJ42" s="2" t="str">
        <f t="shared" si="15"/>
        <v>88(49)</v>
      </c>
    </row>
    <row r="43" spans="1:62" x14ac:dyDescent="0.35">
      <c r="A43" t="s">
        <v>68</v>
      </c>
      <c r="B43">
        <v>30.44</v>
      </c>
      <c r="C43">
        <v>0.35</v>
      </c>
      <c r="D43">
        <v>31.42</v>
      </c>
      <c r="E43">
        <v>0.35</v>
      </c>
      <c r="F43">
        <v>38.71</v>
      </c>
      <c r="G43">
        <v>0.34</v>
      </c>
      <c r="H43">
        <v>88.67</v>
      </c>
      <c r="I43">
        <v>0.19</v>
      </c>
      <c r="J43">
        <v>92.04</v>
      </c>
      <c r="K43">
        <v>0.16</v>
      </c>
      <c r="L43">
        <v>95.88</v>
      </c>
      <c r="M43">
        <v>0.12</v>
      </c>
      <c r="N43">
        <v>86.75</v>
      </c>
      <c r="O43">
        <v>0.2</v>
      </c>
      <c r="P43">
        <v>28.55</v>
      </c>
      <c r="Q43">
        <v>0.35</v>
      </c>
      <c r="R43">
        <v>30.23</v>
      </c>
      <c r="S43">
        <v>0.34</v>
      </c>
      <c r="T43">
        <v>31.24</v>
      </c>
      <c r="U43">
        <v>0.34</v>
      </c>
      <c r="V43">
        <v>80.87</v>
      </c>
      <c r="W43">
        <v>0.24</v>
      </c>
      <c r="X43">
        <v>86.03</v>
      </c>
      <c r="Y43">
        <v>0.21</v>
      </c>
      <c r="Z43">
        <v>92.6</v>
      </c>
      <c r="AA43">
        <v>0.16</v>
      </c>
      <c r="AB43">
        <v>81.8</v>
      </c>
      <c r="AC43">
        <v>0.23</v>
      </c>
      <c r="AD43">
        <v>22.62</v>
      </c>
      <c r="AE43">
        <v>0.34</v>
      </c>
      <c r="AF43">
        <v>23.9</v>
      </c>
      <c r="AG43">
        <v>0.34</v>
      </c>
      <c r="AH43">
        <v>23.73</v>
      </c>
      <c r="AI43">
        <v>0.34</v>
      </c>
      <c r="AJ43">
        <v>63.91</v>
      </c>
      <c r="AK43">
        <v>0.3</v>
      </c>
      <c r="AL43">
        <v>71.05</v>
      </c>
      <c r="AM43">
        <v>0.28000000000000003</v>
      </c>
      <c r="AN43">
        <v>83.31</v>
      </c>
      <c r="AO43">
        <v>0.22</v>
      </c>
      <c r="AP43">
        <v>61.95</v>
      </c>
      <c r="AQ43">
        <v>0.31</v>
      </c>
      <c r="AR43">
        <v>67.430000000000007</v>
      </c>
      <c r="AS43">
        <v>56.83</v>
      </c>
      <c r="AT43">
        <v>49.92</v>
      </c>
      <c r="AU43" s="2" t="str">
        <f t="shared" si="0"/>
        <v>30(6)</v>
      </c>
      <c r="AV43" s="2" t="str">
        <f t="shared" si="1"/>
        <v>31(4)</v>
      </c>
      <c r="AW43" s="2" t="str">
        <f t="shared" si="2"/>
        <v>67(16)</v>
      </c>
      <c r="AX43" s="2" t="str">
        <f t="shared" si="3"/>
        <v>96(3)</v>
      </c>
      <c r="AY43" s="2" t="str">
        <f t="shared" si="4"/>
        <v>39(19)</v>
      </c>
      <c r="AZ43" s="2" t="str">
        <f t="shared" si="5"/>
        <v>89(9)</v>
      </c>
      <c r="BA43" s="2" t="str">
        <f t="shared" si="6"/>
        <v>92(7)</v>
      </c>
      <c r="BB43" s="2" t="str">
        <f t="shared" si="7"/>
        <v>87(6)</v>
      </c>
      <c r="BC43" s="2" t="str">
        <f t="shared" si="8"/>
        <v>30(26)</v>
      </c>
      <c r="BD43" s="2" t="str">
        <f t="shared" si="9"/>
        <v>31(23.9)</v>
      </c>
      <c r="BE43" s="2" t="str">
        <f t="shared" si="10"/>
        <v>67(26)</v>
      </c>
      <c r="BF43" s="2" t="str">
        <f t="shared" si="11"/>
        <v>96(13)</v>
      </c>
      <c r="BG43" s="2" t="str">
        <f t="shared" si="12"/>
        <v>39(39)</v>
      </c>
      <c r="BH43" s="2" t="str">
        <f t="shared" si="13"/>
        <v>89(28)</v>
      </c>
      <c r="BI43" s="2" t="str">
        <f t="shared" si="14"/>
        <v>92(23)</v>
      </c>
      <c r="BJ43" s="2" t="str">
        <f t="shared" si="15"/>
        <v>87(29)</v>
      </c>
    </row>
    <row r="44" spans="1:62" s="2" customFormat="1" x14ac:dyDescent="0.35">
      <c r="A44" s="2">
        <v>1</v>
      </c>
      <c r="B44" s="2">
        <v>37.54</v>
      </c>
      <c r="C44" s="2">
        <v>0.19</v>
      </c>
      <c r="D44" s="2">
        <v>51.41</v>
      </c>
      <c r="E44" s="2">
        <v>0.18</v>
      </c>
      <c r="F44" s="2">
        <v>37.81</v>
      </c>
      <c r="G44" s="2">
        <v>0.17</v>
      </c>
      <c r="H44" s="2">
        <v>86.58</v>
      </c>
      <c r="I44" s="2">
        <v>0.11</v>
      </c>
      <c r="J44" s="2">
        <v>95.06</v>
      </c>
      <c r="K44" s="2">
        <v>0.08</v>
      </c>
      <c r="L44" s="2">
        <v>98.48</v>
      </c>
      <c r="M44" s="2">
        <v>0.04</v>
      </c>
      <c r="N44" s="2">
        <v>86.43</v>
      </c>
      <c r="O44" s="2">
        <v>0.11</v>
      </c>
      <c r="P44" s="2">
        <v>32.630000000000003</v>
      </c>
      <c r="Q44" s="2">
        <v>0.19</v>
      </c>
      <c r="R44" s="2">
        <v>48.12</v>
      </c>
      <c r="S44" s="2">
        <v>0.18</v>
      </c>
      <c r="T44" s="2">
        <v>24.24</v>
      </c>
      <c r="U44" s="2">
        <v>0.15</v>
      </c>
      <c r="V44" s="2">
        <v>69.87</v>
      </c>
      <c r="W44" s="2">
        <v>0.15</v>
      </c>
      <c r="X44" s="2">
        <v>85.27</v>
      </c>
      <c r="Y44" s="2">
        <v>0.11</v>
      </c>
      <c r="Z44" s="2">
        <v>94.8</v>
      </c>
      <c r="AA44" s="2">
        <v>0.06</v>
      </c>
      <c r="AB44" s="2">
        <v>76.17</v>
      </c>
      <c r="AC44" s="2">
        <v>0.14000000000000001</v>
      </c>
      <c r="AD44" s="2">
        <v>12.07</v>
      </c>
      <c r="AE44" s="2">
        <v>0.16</v>
      </c>
      <c r="AF44" s="2">
        <v>22.75</v>
      </c>
      <c r="AG44" s="2">
        <v>0.14000000000000001</v>
      </c>
      <c r="AH44" s="2">
        <v>8.6999999999999993</v>
      </c>
      <c r="AI44" s="2">
        <v>0.11</v>
      </c>
      <c r="AJ44" s="2">
        <v>33.89</v>
      </c>
      <c r="AK44" s="2">
        <v>0.18</v>
      </c>
      <c r="AL44" s="2">
        <v>53.07</v>
      </c>
      <c r="AM44" s="2">
        <v>0.18</v>
      </c>
      <c r="AN44" s="2">
        <v>78.56</v>
      </c>
      <c r="AO44" s="2">
        <v>0.13</v>
      </c>
      <c r="AP44" s="2">
        <v>33.18</v>
      </c>
      <c r="AQ44" s="2">
        <v>0.19</v>
      </c>
      <c r="AR44" s="2">
        <v>71.510000000000005</v>
      </c>
      <c r="AS44" s="2">
        <v>50.16</v>
      </c>
      <c r="AT44" s="2">
        <v>36.54</v>
      </c>
      <c r="AU44" s="2" t="str">
        <f t="shared" si="0"/>
        <v>38(13)</v>
      </c>
      <c r="AV44" s="2" t="str">
        <f t="shared" si="1"/>
        <v>51(6)</v>
      </c>
      <c r="AW44" s="2" t="str">
        <f t="shared" si="2"/>
        <v>72(30)</v>
      </c>
      <c r="AX44" s="2" t="str">
        <f t="shared" si="3"/>
        <v>98(4)</v>
      </c>
      <c r="AY44" s="2" t="str">
        <f t="shared" si="4"/>
        <v>38(36)</v>
      </c>
      <c r="AZ44" s="2" t="str">
        <f t="shared" si="5"/>
        <v>87(19)</v>
      </c>
      <c r="BA44" s="2" t="str">
        <f t="shared" si="6"/>
        <v>95(10)</v>
      </c>
      <c r="BB44" s="2" t="str">
        <f t="shared" si="7"/>
        <v>86(12)</v>
      </c>
      <c r="BC44" s="2" t="str">
        <f t="shared" si="8"/>
        <v>38(68)</v>
      </c>
      <c r="BD44" s="2" t="str">
        <f t="shared" si="9"/>
        <v>51(55.7)</v>
      </c>
      <c r="BE44" s="2" t="str">
        <f t="shared" si="10"/>
        <v>72(49)</v>
      </c>
      <c r="BF44" s="2" t="str">
        <f t="shared" si="11"/>
        <v>98(20)</v>
      </c>
      <c r="BG44" s="2" t="str">
        <f t="shared" si="12"/>
        <v>38(77)</v>
      </c>
      <c r="BH44" s="2" t="str">
        <f t="shared" si="13"/>
        <v>87(61)</v>
      </c>
      <c r="BI44" s="2" t="str">
        <f t="shared" si="14"/>
        <v>95(44)</v>
      </c>
      <c r="BJ44" s="2" t="str">
        <f t="shared" si="15"/>
        <v>86(62)</v>
      </c>
    </row>
    <row r="45" spans="1:62" s="2" customFormat="1" x14ac:dyDescent="0.35">
      <c r="A45" s="2">
        <v>2</v>
      </c>
      <c r="B45" s="2">
        <v>35.840000000000003</v>
      </c>
      <c r="C45" s="2">
        <v>0.21</v>
      </c>
      <c r="D45" s="2">
        <v>37.9</v>
      </c>
      <c r="E45" s="2">
        <v>0.21</v>
      </c>
      <c r="F45" s="2">
        <v>39.57</v>
      </c>
      <c r="G45" s="2">
        <v>0.21</v>
      </c>
      <c r="H45" s="2">
        <v>91.33</v>
      </c>
      <c r="I45" s="2">
        <v>0.12</v>
      </c>
      <c r="J45" s="2">
        <v>94.8</v>
      </c>
      <c r="K45" s="2">
        <v>0.1</v>
      </c>
      <c r="L45" s="2">
        <v>97.25</v>
      </c>
      <c r="M45" s="2">
        <v>7.0000000000000007E-2</v>
      </c>
      <c r="N45" s="2">
        <v>89.96</v>
      </c>
      <c r="O45" s="2">
        <v>0.12</v>
      </c>
      <c r="P45" s="2">
        <v>33.31</v>
      </c>
      <c r="Q45" s="2">
        <v>0.21</v>
      </c>
      <c r="R45" s="2">
        <v>36.18</v>
      </c>
      <c r="S45" s="2">
        <v>0.21</v>
      </c>
      <c r="T45" s="2">
        <v>31.75</v>
      </c>
      <c r="U45" s="2">
        <v>0.21</v>
      </c>
      <c r="V45" s="2">
        <v>83.67</v>
      </c>
      <c r="W45" s="2">
        <v>0.15</v>
      </c>
      <c r="X45" s="2">
        <v>90.37</v>
      </c>
      <c r="Y45" s="2">
        <v>0.12</v>
      </c>
      <c r="Z45" s="2">
        <v>94.97</v>
      </c>
      <c r="AA45" s="2">
        <v>0.09</v>
      </c>
      <c r="AB45" s="2">
        <v>85.54</v>
      </c>
      <c r="AC45" s="2">
        <v>0.15</v>
      </c>
      <c r="AD45" s="2">
        <v>22.46</v>
      </c>
      <c r="AE45" s="2">
        <v>0.19</v>
      </c>
      <c r="AF45" s="2">
        <v>24.63</v>
      </c>
      <c r="AG45" s="2">
        <v>0.19</v>
      </c>
      <c r="AH45" s="2">
        <v>21.11</v>
      </c>
      <c r="AI45" s="2">
        <v>0.19</v>
      </c>
      <c r="AJ45" s="2">
        <v>62.32</v>
      </c>
      <c r="AK45" s="2">
        <v>0.21</v>
      </c>
      <c r="AL45" s="2">
        <v>74.180000000000007</v>
      </c>
      <c r="AM45" s="2">
        <v>0.18</v>
      </c>
      <c r="AN45" s="2">
        <v>86.38</v>
      </c>
      <c r="AO45" s="2">
        <v>0.14000000000000001</v>
      </c>
      <c r="AP45" s="2">
        <v>61.73</v>
      </c>
      <c r="AQ45" s="2">
        <v>0.21</v>
      </c>
      <c r="AR45" s="2">
        <v>70.62</v>
      </c>
      <c r="AS45" s="2">
        <v>58.6</v>
      </c>
      <c r="AT45" s="2">
        <v>50.39</v>
      </c>
      <c r="AU45" s="2" t="str">
        <f t="shared" si="0"/>
        <v>36(7)</v>
      </c>
      <c r="AV45" s="2" t="str">
        <f t="shared" si="1"/>
        <v>38(5)</v>
      </c>
      <c r="AW45" s="2" t="str">
        <f t="shared" si="2"/>
        <v>71(17)</v>
      </c>
      <c r="AX45" s="2" t="str">
        <f t="shared" si="3"/>
        <v>97(2)</v>
      </c>
      <c r="AY45" s="2" t="str">
        <f t="shared" si="4"/>
        <v>40(20)</v>
      </c>
      <c r="AZ45" s="2" t="str">
        <f t="shared" si="5"/>
        <v>91(8)</v>
      </c>
      <c r="BA45" s="2" t="str">
        <f t="shared" si="6"/>
        <v>95(5)</v>
      </c>
      <c r="BB45" s="2" t="str">
        <f t="shared" si="7"/>
        <v>90(5)</v>
      </c>
      <c r="BC45" s="2" t="str">
        <f t="shared" si="8"/>
        <v>36(37)</v>
      </c>
      <c r="BD45" s="2" t="str">
        <f t="shared" si="9"/>
        <v>38(35)</v>
      </c>
      <c r="BE45" s="2" t="str">
        <f t="shared" si="10"/>
        <v>71(29)</v>
      </c>
      <c r="BF45" s="2" t="str">
        <f t="shared" si="11"/>
        <v>97(11)</v>
      </c>
      <c r="BG45" s="2" t="str">
        <f t="shared" si="12"/>
        <v>40(47)</v>
      </c>
      <c r="BH45" s="2" t="str">
        <f t="shared" si="13"/>
        <v>91(32)</v>
      </c>
      <c r="BI45" s="2" t="str">
        <f t="shared" si="14"/>
        <v>95(22)</v>
      </c>
      <c r="BJ45" s="2" t="str">
        <f t="shared" si="15"/>
        <v>90(31)</v>
      </c>
    </row>
    <row r="46" spans="1:62" x14ac:dyDescent="0.35">
      <c r="A46" t="s">
        <v>69</v>
      </c>
      <c r="B46">
        <v>50.39</v>
      </c>
      <c r="C46">
        <v>0.57999999999999996</v>
      </c>
      <c r="D46">
        <v>65.349999999999994</v>
      </c>
      <c r="E46">
        <v>0.63</v>
      </c>
      <c r="F46">
        <v>37.11</v>
      </c>
      <c r="G46">
        <v>0.5</v>
      </c>
      <c r="H46">
        <v>88.65</v>
      </c>
      <c r="I46">
        <v>0.31</v>
      </c>
      <c r="J46">
        <v>96.57</v>
      </c>
      <c r="K46">
        <v>0.26</v>
      </c>
      <c r="L46">
        <v>99.59</v>
      </c>
      <c r="M46">
        <v>0.04</v>
      </c>
      <c r="N46">
        <v>88.87</v>
      </c>
      <c r="O46">
        <v>0.31</v>
      </c>
      <c r="P46">
        <v>44.66</v>
      </c>
      <c r="Q46">
        <v>0.59</v>
      </c>
      <c r="R46">
        <v>61.9</v>
      </c>
      <c r="S46">
        <v>0.63</v>
      </c>
      <c r="T46">
        <v>25.2</v>
      </c>
      <c r="U46">
        <v>0.4</v>
      </c>
      <c r="V46">
        <v>72.06</v>
      </c>
      <c r="W46">
        <v>0.45</v>
      </c>
      <c r="X46">
        <v>88.26</v>
      </c>
      <c r="Y46">
        <v>0.32</v>
      </c>
      <c r="Z46">
        <v>97.15</v>
      </c>
      <c r="AA46">
        <v>0.11</v>
      </c>
      <c r="AB46">
        <v>78.67</v>
      </c>
      <c r="AC46">
        <v>0.38</v>
      </c>
      <c r="AD46">
        <v>13.88</v>
      </c>
      <c r="AE46">
        <v>0.53</v>
      </c>
      <c r="AF46">
        <v>28.84</v>
      </c>
      <c r="AG46">
        <v>0.43</v>
      </c>
      <c r="AH46">
        <v>7.62</v>
      </c>
      <c r="AI46">
        <v>0.18</v>
      </c>
      <c r="AJ46">
        <v>30.42</v>
      </c>
      <c r="AK46">
        <v>0.6</v>
      </c>
      <c r="AL46">
        <v>55.22</v>
      </c>
      <c r="AM46">
        <v>0.55000000000000004</v>
      </c>
      <c r="AN46">
        <v>83.16</v>
      </c>
      <c r="AO46">
        <v>0.28999999999999998</v>
      </c>
      <c r="AP46">
        <v>32.22</v>
      </c>
      <c r="AQ46">
        <v>0.66</v>
      </c>
      <c r="AR46">
        <v>75.489999999999995</v>
      </c>
      <c r="AS46">
        <v>52.94</v>
      </c>
      <c r="AT46">
        <v>36.42</v>
      </c>
      <c r="AU46" s="2" t="str">
        <f t="shared" si="0"/>
        <v>50(11)</v>
      </c>
      <c r="AV46" s="2" t="str">
        <f t="shared" si="1"/>
        <v>65(5)</v>
      </c>
      <c r="AW46" s="2" t="str">
        <f t="shared" si="2"/>
        <v>75(30)</v>
      </c>
      <c r="AX46" s="2" t="str">
        <f t="shared" si="3"/>
        <v>100(2)</v>
      </c>
      <c r="AY46" s="2" t="str">
        <f t="shared" si="4"/>
        <v>37(32)</v>
      </c>
      <c r="AZ46" s="2" t="str">
        <f t="shared" si="5"/>
        <v>89(19)</v>
      </c>
      <c r="BA46" s="2" t="str">
        <f t="shared" si="6"/>
        <v>97(9)</v>
      </c>
      <c r="BB46" s="2" t="str">
        <f t="shared" si="7"/>
        <v>89(11)</v>
      </c>
      <c r="BC46" s="2" t="str">
        <f t="shared" si="8"/>
        <v>50(72)</v>
      </c>
      <c r="BD46" s="2" t="str">
        <f t="shared" si="9"/>
        <v>65(55.9)</v>
      </c>
      <c r="BE46" s="2" t="str">
        <f t="shared" si="10"/>
        <v>75(52)</v>
      </c>
      <c r="BF46" s="2" t="str">
        <f t="shared" si="11"/>
        <v>100(16)</v>
      </c>
      <c r="BG46" s="2" t="str">
        <f t="shared" si="12"/>
        <v>37(79)</v>
      </c>
      <c r="BH46" s="2" t="str">
        <f t="shared" si="13"/>
        <v>89(66)</v>
      </c>
      <c r="BI46" s="2" t="str">
        <f t="shared" si="14"/>
        <v>97(43)</v>
      </c>
      <c r="BJ46" s="2" t="str">
        <f t="shared" si="15"/>
        <v>89(64)</v>
      </c>
    </row>
    <row r="47" spans="1:62" x14ac:dyDescent="0.35">
      <c r="A47" t="s">
        <v>70</v>
      </c>
      <c r="B47">
        <v>40.51</v>
      </c>
      <c r="C47">
        <v>0.36</v>
      </c>
      <c r="D47">
        <v>58.61</v>
      </c>
      <c r="E47">
        <v>0.36</v>
      </c>
      <c r="F47">
        <v>35.17</v>
      </c>
      <c r="G47">
        <v>0.31</v>
      </c>
      <c r="H47">
        <v>86.81</v>
      </c>
      <c r="I47">
        <v>0.21</v>
      </c>
      <c r="J47">
        <v>95.77</v>
      </c>
      <c r="K47">
        <v>0.13</v>
      </c>
      <c r="L47">
        <v>99.04</v>
      </c>
      <c r="M47">
        <v>0.06</v>
      </c>
      <c r="N47">
        <v>86.93</v>
      </c>
      <c r="O47">
        <v>0.21</v>
      </c>
      <c r="P47">
        <v>35.159999999999997</v>
      </c>
      <c r="Q47">
        <v>0.36</v>
      </c>
      <c r="R47">
        <v>55.2</v>
      </c>
      <c r="S47">
        <v>0.36</v>
      </c>
      <c r="T47">
        <v>22.06</v>
      </c>
      <c r="U47">
        <v>0.26</v>
      </c>
      <c r="V47">
        <v>69.45</v>
      </c>
      <c r="W47">
        <v>0.3</v>
      </c>
      <c r="X47">
        <v>86.33</v>
      </c>
      <c r="Y47">
        <v>0.22</v>
      </c>
      <c r="Z47">
        <v>96.32</v>
      </c>
      <c r="AA47">
        <v>0.12</v>
      </c>
      <c r="AB47">
        <v>76.05</v>
      </c>
      <c r="AC47">
        <v>0.28000000000000003</v>
      </c>
      <c r="AD47">
        <v>12.01</v>
      </c>
      <c r="AE47">
        <v>0.28999999999999998</v>
      </c>
      <c r="AF47">
        <v>25.17</v>
      </c>
      <c r="AG47">
        <v>0.28000000000000003</v>
      </c>
      <c r="AH47">
        <v>6.9</v>
      </c>
      <c r="AI47">
        <v>0.16</v>
      </c>
      <c r="AJ47">
        <v>31.51</v>
      </c>
      <c r="AK47">
        <v>0.34</v>
      </c>
      <c r="AL47">
        <v>53.19</v>
      </c>
      <c r="AM47">
        <v>0.34</v>
      </c>
      <c r="AN47">
        <v>80.819999999999993</v>
      </c>
      <c r="AO47">
        <v>0.25</v>
      </c>
      <c r="AP47">
        <v>31.26</v>
      </c>
      <c r="AQ47">
        <v>0.34</v>
      </c>
      <c r="AR47">
        <v>71.540000000000006</v>
      </c>
      <c r="AS47">
        <v>50.34</v>
      </c>
      <c r="AT47">
        <v>35.229999999999997</v>
      </c>
      <c r="AU47" s="2" t="str">
        <f t="shared" si="0"/>
        <v>41(13)</v>
      </c>
      <c r="AV47" s="2" t="str">
        <f t="shared" si="1"/>
        <v>59(6)</v>
      </c>
      <c r="AW47" s="2" t="str">
        <f t="shared" si="2"/>
        <v>72(30)</v>
      </c>
      <c r="AX47" s="2" t="str">
        <f t="shared" si="3"/>
        <v>99(3)</v>
      </c>
      <c r="AY47" s="2" t="str">
        <f t="shared" si="4"/>
        <v>35(37)</v>
      </c>
      <c r="AZ47" s="2" t="str">
        <f t="shared" si="5"/>
        <v>87(20)</v>
      </c>
      <c r="BA47" s="2" t="str">
        <f t="shared" si="6"/>
        <v>96(10)</v>
      </c>
      <c r="BB47" s="2" t="str">
        <f t="shared" si="7"/>
        <v>87(13)</v>
      </c>
      <c r="BC47" s="2" t="str">
        <f t="shared" si="8"/>
        <v>41(70)</v>
      </c>
      <c r="BD47" s="2" t="str">
        <f t="shared" si="9"/>
        <v>59(57.1)</v>
      </c>
      <c r="BE47" s="2" t="str">
        <f t="shared" si="10"/>
        <v>72(51)</v>
      </c>
      <c r="BF47" s="2" t="str">
        <f t="shared" si="11"/>
        <v>99(18)</v>
      </c>
      <c r="BG47" s="2" t="str">
        <f t="shared" si="12"/>
        <v>35(80)</v>
      </c>
      <c r="BH47" s="2" t="str">
        <f t="shared" si="13"/>
        <v>87(64)</v>
      </c>
      <c r="BI47" s="2" t="str">
        <f t="shared" si="14"/>
        <v>96(44)</v>
      </c>
      <c r="BJ47" s="2" t="str">
        <f t="shared" si="15"/>
        <v>87(64)</v>
      </c>
    </row>
    <row r="48" spans="1:62" x14ac:dyDescent="0.35">
      <c r="A48" t="s">
        <v>71</v>
      </c>
      <c r="B48">
        <v>35.21</v>
      </c>
      <c r="C48">
        <v>0.3</v>
      </c>
      <c r="D48">
        <v>51.51</v>
      </c>
      <c r="E48">
        <v>0.31</v>
      </c>
      <c r="F48">
        <v>37.01</v>
      </c>
      <c r="G48">
        <v>0.3</v>
      </c>
      <c r="H48">
        <v>85.66</v>
      </c>
      <c r="I48">
        <v>0.22</v>
      </c>
      <c r="J48">
        <v>95.04</v>
      </c>
      <c r="K48">
        <v>0.14000000000000001</v>
      </c>
      <c r="L48">
        <v>98.58</v>
      </c>
      <c r="M48">
        <v>7.0000000000000007E-2</v>
      </c>
      <c r="N48">
        <v>85.58</v>
      </c>
      <c r="O48">
        <v>0.22</v>
      </c>
      <c r="P48">
        <v>30.21</v>
      </c>
      <c r="Q48">
        <v>0.28000000000000003</v>
      </c>
      <c r="R48">
        <v>47.92</v>
      </c>
      <c r="S48">
        <v>0.31</v>
      </c>
      <c r="T48">
        <v>22.5</v>
      </c>
      <c r="U48">
        <v>0.25</v>
      </c>
      <c r="V48">
        <v>68.239999999999995</v>
      </c>
      <c r="W48">
        <v>0.28999999999999998</v>
      </c>
      <c r="X48">
        <v>84.96</v>
      </c>
      <c r="Y48">
        <v>0.22</v>
      </c>
      <c r="Z48">
        <v>94.89</v>
      </c>
      <c r="AA48">
        <v>0.14000000000000001</v>
      </c>
      <c r="AB48">
        <v>74.900000000000006</v>
      </c>
      <c r="AC48">
        <v>0.27</v>
      </c>
      <c r="AD48">
        <v>10.67</v>
      </c>
      <c r="AE48">
        <v>0.19</v>
      </c>
      <c r="AF48">
        <v>21.54</v>
      </c>
      <c r="AG48">
        <v>0.25</v>
      </c>
      <c r="AH48">
        <v>7.29</v>
      </c>
      <c r="AI48">
        <v>0.16</v>
      </c>
      <c r="AJ48">
        <v>32.619999999999997</v>
      </c>
      <c r="AK48">
        <v>0.28999999999999998</v>
      </c>
      <c r="AL48">
        <v>51.79</v>
      </c>
      <c r="AM48">
        <v>0.31</v>
      </c>
      <c r="AN48">
        <v>77.83</v>
      </c>
      <c r="AO48">
        <v>0.26</v>
      </c>
      <c r="AP48">
        <v>31.25</v>
      </c>
      <c r="AQ48">
        <v>0.28999999999999998</v>
      </c>
      <c r="AR48">
        <v>70.650000000000006</v>
      </c>
      <c r="AS48">
        <v>49.06</v>
      </c>
      <c r="AT48">
        <v>34.380000000000003</v>
      </c>
      <c r="AU48" s="2" t="str">
        <f t="shared" si="0"/>
        <v>35(14)</v>
      </c>
      <c r="AV48" s="2" t="str">
        <f t="shared" si="1"/>
        <v>52(7)</v>
      </c>
      <c r="AW48" s="2" t="str">
        <f t="shared" si="2"/>
        <v>71(31)</v>
      </c>
      <c r="AX48" s="2" t="str">
        <f t="shared" si="3"/>
        <v>99(4)</v>
      </c>
      <c r="AY48" s="2" t="str">
        <f t="shared" si="4"/>
        <v>37(39)</v>
      </c>
      <c r="AZ48" s="2" t="str">
        <f t="shared" si="5"/>
        <v>86(20)</v>
      </c>
      <c r="BA48" s="2" t="str">
        <f t="shared" si="6"/>
        <v>95(11)</v>
      </c>
      <c r="BB48" s="2" t="str">
        <f t="shared" si="7"/>
        <v>86(12)</v>
      </c>
      <c r="BC48" s="2" t="str">
        <f t="shared" si="8"/>
        <v>35(70)</v>
      </c>
      <c r="BD48" s="2" t="str">
        <f t="shared" si="9"/>
        <v>52(58.2)</v>
      </c>
      <c r="BE48" s="2" t="str">
        <f t="shared" si="10"/>
        <v>71(51)</v>
      </c>
      <c r="BF48" s="2" t="str">
        <f t="shared" si="11"/>
        <v>99(21)</v>
      </c>
      <c r="BG48" s="2" t="str">
        <f t="shared" si="12"/>
        <v>37(80)</v>
      </c>
      <c r="BH48" s="2" t="str">
        <f t="shared" si="13"/>
        <v>86(62)</v>
      </c>
      <c r="BI48" s="2" t="str">
        <f t="shared" si="14"/>
        <v>95(46)</v>
      </c>
      <c r="BJ48" s="2" t="str">
        <f t="shared" si="15"/>
        <v>86(63)</v>
      </c>
    </row>
    <row r="49" spans="1:62" x14ac:dyDescent="0.35">
      <c r="A49" t="s">
        <v>72</v>
      </c>
      <c r="B49">
        <v>32.14</v>
      </c>
      <c r="C49">
        <v>0.31</v>
      </c>
      <c r="D49">
        <v>44.69</v>
      </c>
      <c r="E49">
        <v>0.32</v>
      </c>
      <c r="F49">
        <v>39.51</v>
      </c>
      <c r="G49">
        <v>0.32</v>
      </c>
      <c r="H49">
        <v>86.5</v>
      </c>
      <c r="I49">
        <v>0.22</v>
      </c>
      <c r="J49">
        <v>94.76</v>
      </c>
      <c r="K49">
        <v>0.14000000000000001</v>
      </c>
      <c r="L49">
        <v>98.12</v>
      </c>
      <c r="M49">
        <v>0.09</v>
      </c>
      <c r="N49">
        <v>85.96</v>
      </c>
      <c r="O49">
        <v>0.22</v>
      </c>
      <c r="P49">
        <v>27.55</v>
      </c>
      <c r="Q49">
        <v>0.28999999999999998</v>
      </c>
      <c r="R49">
        <v>41.28</v>
      </c>
      <c r="S49">
        <v>0.32</v>
      </c>
      <c r="T49">
        <v>24.59</v>
      </c>
      <c r="U49">
        <v>0.28000000000000003</v>
      </c>
      <c r="V49">
        <v>69.38</v>
      </c>
      <c r="W49">
        <v>0.3</v>
      </c>
      <c r="X49">
        <v>84.72</v>
      </c>
      <c r="Y49">
        <v>0.23</v>
      </c>
      <c r="Z49">
        <v>93.79</v>
      </c>
      <c r="AA49">
        <v>0.16</v>
      </c>
      <c r="AB49">
        <v>75.97</v>
      </c>
      <c r="AC49">
        <v>0.28000000000000003</v>
      </c>
      <c r="AD49">
        <v>10.5</v>
      </c>
      <c r="AE49">
        <v>0.21</v>
      </c>
      <c r="AF49">
        <v>18.82</v>
      </c>
      <c r="AG49">
        <v>0.26</v>
      </c>
      <c r="AH49">
        <v>8.3000000000000007</v>
      </c>
      <c r="AI49">
        <v>0.19</v>
      </c>
      <c r="AJ49">
        <v>34.56</v>
      </c>
      <c r="AK49">
        <v>0.31</v>
      </c>
      <c r="AL49">
        <v>51.8</v>
      </c>
      <c r="AM49">
        <v>0.32</v>
      </c>
      <c r="AN49">
        <v>75.92</v>
      </c>
      <c r="AO49">
        <v>0.28000000000000003</v>
      </c>
      <c r="AP49">
        <v>32.79</v>
      </c>
      <c r="AQ49">
        <v>0.31</v>
      </c>
      <c r="AR49">
        <v>70.75</v>
      </c>
      <c r="AS49">
        <v>49.19</v>
      </c>
      <c r="AT49">
        <v>34.44</v>
      </c>
      <c r="AU49" s="2" t="str">
        <f t="shared" si="0"/>
        <v>32(14)</v>
      </c>
      <c r="AV49" s="2" t="str">
        <f t="shared" si="1"/>
        <v>45(8)</v>
      </c>
      <c r="AW49" s="2" t="str">
        <f t="shared" si="2"/>
        <v>71(30)</v>
      </c>
      <c r="AX49" s="2" t="str">
        <f t="shared" si="3"/>
        <v>98(4)</v>
      </c>
      <c r="AY49" s="2" t="str">
        <f t="shared" si="4"/>
        <v>40(38)</v>
      </c>
      <c r="AZ49" s="2" t="str">
        <f t="shared" si="5"/>
        <v>87(20)</v>
      </c>
      <c r="BA49" s="2" t="str">
        <f t="shared" si="6"/>
        <v>95(11)</v>
      </c>
      <c r="BB49" s="2" t="str">
        <f t="shared" si="7"/>
        <v>86(12)</v>
      </c>
      <c r="BC49" s="2" t="str">
        <f t="shared" si="8"/>
        <v>32(67)</v>
      </c>
      <c r="BD49" s="2" t="str">
        <f t="shared" si="9"/>
        <v>45(57.9)</v>
      </c>
      <c r="BE49" s="2" t="str">
        <f t="shared" si="10"/>
        <v>71(51)</v>
      </c>
      <c r="BF49" s="2" t="str">
        <f t="shared" si="11"/>
        <v>98(23)</v>
      </c>
      <c r="BG49" s="2" t="str">
        <f t="shared" si="12"/>
        <v>40(79)</v>
      </c>
      <c r="BH49" s="2" t="str">
        <f t="shared" si="13"/>
        <v>87(60)</v>
      </c>
      <c r="BI49" s="2" t="str">
        <f t="shared" si="14"/>
        <v>95(45)</v>
      </c>
      <c r="BJ49" s="2" t="str">
        <f t="shared" si="15"/>
        <v>86(62)</v>
      </c>
    </row>
    <row r="50" spans="1:62" x14ac:dyDescent="0.35">
      <c r="A50" t="s">
        <v>73</v>
      </c>
      <c r="B50">
        <v>28.7</v>
      </c>
      <c r="C50">
        <v>0.4</v>
      </c>
      <c r="D50">
        <v>35.64</v>
      </c>
      <c r="E50">
        <v>0.4</v>
      </c>
      <c r="F50">
        <v>40.53</v>
      </c>
      <c r="G50">
        <v>0.39</v>
      </c>
      <c r="H50">
        <v>85.18</v>
      </c>
      <c r="I50">
        <v>0.24</v>
      </c>
      <c r="J50">
        <v>93.03</v>
      </c>
      <c r="K50">
        <v>0.17</v>
      </c>
      <c r="L50">
        <v>97</v>
      </c>
      <c r="M50">
        <v>0.11</v>
      </c>
      <c r="N50">
        <v>84.72</v>
      </c>
      <c r="O50">
        <v>0.24</v>
      </c>
      <c r="P50">
        <v>24.89</v>
      </c>
      <c r="Q50">
        <v>0.4</v>
      </c>
      <c r="R50">
        <v>33.130000000000003</v>
      </c>
      <c r="S50">
        <v>0.4</v>
      </c>
      <c r="T50">
        <v>27.06</v>
      </c>
      <c r="U50">
        <v>0.4</v>
      </c>
      <c r="V50">
        <v>70.2</v>
      </c>
      <c r="W50">
        <v>0.32</v>
      </c>
      <c r="X50">
        <v>81.900000000000006</v>
      </c>
      <c r="Y50">
        <v>0.26</v>
      </c>
      <c r="Z50">
        <v>91.59</v>
      </c>
      <c r="AA50">
        <v>0.18</v>
      </c>
      <c r="AB50">
        <v>75.23</v>
      </c>
      <c r="AC50">
        <v>0.3</v>
      </c>
      <c r="AD50">
        <v>13.25</v>
      </c>
      <c r="AE50">
        <v>0.39</v>
      </c>
      <c r="AF50">
        <v>18.95</v>
      </c>
      <c r="AG50">
        <v>0.4</v>
      </c>
      <c r="AH50">
        <v>13.65</v>
      </c>
      <c r="AI50">
        <v>0.39</v>
      </c>
      <c r="AJ50">
        <v>40.72</v>
      </c>
      <c r="AK50">
        <v>0.4</v>
      </c>
      <c r="AL50">
        <v>53.29</v>
      </c>
      <c r="AM50">
        <v>0.37</v>
      </c>
      <c r="AN50">
        <v>74.709999999999994</v>
      </c>
      <c r="AO50">
        <v>0.3</v>
      </c>
      <c r="AP50">
        <v>38.61</v>
      </c>
      <c r="AQ50">
        <v>0.4</v>
      </c>
      <c r="AR50">
        <v>69.430000000000007</v>
      </c>
      <c r="AS50">
        <v>49.47</v>
      </c>
      <c r="AT50">
        <v>36.619999999999997</v>
      </c>
      <c r="AU50" s="2" t="str">
        <f t="shared" si="0"/>
        <v>29(13)</v>
      </c>
      <c r="AV50" s="2" t="str">
        <f t="shared" si="1"/>
        <v>36(7)</v>
      </c>
      <c r="AW50" s="2" t="str">
        <f t="shared" si="2"/>
        <v>69(29)</v>
      </c>
      <c r="AX50" s="2" t="str">
        <f t="shared" si="3"/>
        <v>97(6)</v>
      </c>
      <c r="AY50" s="2" t="str">
        <f t="shared" si="4"/>
        <v>41(33)</v>
      </c>
      <c r="AZ50" s="2" t="str">
        <f t="shared" si="5"/>
        <v>85(18)</v>
      </c>
      <c r="BA50" s="2" t="str">
        <f t="shared" si="6"/>
        <v>93(12)</v>
      </c>
      <c r="BB50" s="2" t="str">
        <f t="shared" si="7"/>
        <v>85(11)</v>
      </c>
      <c r="BC50" s="2" t="str">
        <f t="shared" si="8"/>
        <v>29(54)</v>
      </c>
      <c r="BD50" s="2" t="str">
        <f t="shared" si="9"/>
        <v>36(46.8)</v>
      </c>
      <c r="BE50" s="2" t="str">
        <f t="shared" si="10"/>
        <v>69(47)</v>
      </c>
      <c r="BF50" s="2" t="str">
        <f t="shared" si="11"/>
        <v>97(23)</v>
      </c>
      <c r="BG50" s="2" t="str">
        <f t="shared" si="12"/>
        <v>41(66)</v>
      </c>
      <c r="BH50" s="2" t="str">
        <f t="shared" si="13"/>
        <v>85(52)</v>
      </c>
      <c r="BI50" s="2" t="str">
        <f t="shared" si="14"/>
        <v>93(43)</v>
      </c>
      <c r="BJ50" s="2" t="str">
        <f t="shared" si="15"/>
        <v>85(54)</v>
      </c>
    </row>
    <row r="51" spans="1:62" x14ac:dyDescent="0.35">
      <c r="A51" t="s">
        <v>74</v>
      </c>
      <c r="B51">
        <v>47.73</v>
      </c>
      <c r="C51">
        <v>0.45</v>
      </c>
      <c r="D51">
        <v>54.71</v>
      </c>
      <c r="E51">
        <v>0.45</v>
      </c>
      <c r="F51">
        <v>39.409999999999997</v>
      </c>
      <c r="G51">
        <v>0.45</v>
      </c>
      <c r="H51">
        <v>92.19</v>
      </c>
      <c r="I51">
        <v>0.24</v>
      </c>
      <c r="J51">
        <v>97.53</v>
      </c>
      <c r="K51">
        <v>0.12</v>
      </c>
      <c r="L51">
        <v>98.9</v>
      </c>
      <c r="M51">
        <v>0.09</v>
      </c>
      <c r="N51">
        <v>91.77</v>
      </c>
      <c r="O51">
        <v>0.23</v>
      </c>
      <c r="P51">
        <v>43.67</v>
      </c>
      <c r="Q51">
        <v>0.45</v>
      </c>
      <c r="R51">
        <v>52.1</v>
      </c>
      <c r="S51">
        <v>0.45</v>
      </c>
      <c r="T51">
        <v>30.02</v>
      </c>
      <c r="U51">
        <v>0.43</v>
      </c>
      <c r="V51">
        <v>82.02</v>
      </c>
      <c r="W51">
        <v>0.34</v>
      </c>
      <c r="X51">
        <v>92.58</v>
      </c>
      <c r="Y51">
        <v>0.22</v>
      </c>
      <c r="Z51">
        <v>96.92</v>
      </c>
      <c r="AA51">
        <v>0.15</v>
      </c>
      <c r="AB51">
        <v>85.78</v>
      </c>
      <c r="AC51">
        <v>0.3</v>
      </c>
      <c r="AD51">
        <v>22.53</v>
      </c>
      <c r="AE51">
        <v>0.38</v>
      </c>
      <c r="AF51">
        <v>29.75</v>
      </c>
      <c r="AG51">
        <v>0.41</v>
      </c>
      <c r="AH51">
        <v>15.52</v>
      </c>
      <c r="AI51">
        <v>0.34</v>
      </c>
      <c r="AJ51">
        <v>52.17</v>
      </c>
      <c r="AK51">
        <v>0.45</v>
      </c>
      <c r="AL51">
        <v>71.31</v>
      </c>
      <c r="AM51">
        <v>0.41</v>
      </c>
      <c r="AN51">
        <v>87.1</v>
      </c>
      <c r="AO51">
        <v>0.31</v>
      </c>
      <c r="AP51">
        <v>52.51</v>
      </c>
      <c r="AQ51">
        <v>0.45</v>
      </c>
      <c r="AR51">
        <v>74.510000000000005</v>
      </c>
      <c r="AS51">
        <v>58.09</v>
      </c>
      <c r="AT51">
        <v>45.67</v>
      </c>
      <c r="AU51" s="2" t="str">
        <f t="shared" si="0"/>
        <v>48(9)</v>
      </c>
      <c r="AV51" s="2" t="str">
        <f t="shared" si="1"/>
        <v>55(5)</v>
      </c>
      <c r="AW51" s="2" t="str">
        <f t="shared" si="2"/>
        <v>75(22)</v>
      </c>
      <c r="AX51" s="2" t="str">
        <f t="shared" si="3"/>
        <v>99(2)</v>
      </c>
      <c r="AY51" s="2" t="str">
        <f t="shared" si="4"/>
        <v>39(24)</v>
      </c>
      <c r="AZ51" s="2" t="str">
        <f t="shared" si="5"/>
        <v>92(11)</v>
      </c>
      <c r="BA51" s="2" t="str">
        <f t="shared" si="6"/>
        <v>98(5)</v>
      </c>
      <c r="BB51" s="2" t="str">
        <f t="shared" si="7"/>
        <v>92(7)</v>
      </c>
      <c r="BC51" s="2" t="str">
        <f t="shared" si="8"/>
        <v>48(53)</v>
      </c>
      <c r="BD51" s="2" t="str">
        <f t="shared" si="9"/>
        <v>55(45.6)</v>
      </c>
      <c r="BE51" s="2" t="str">
        <f t="shared" si="10"/>
        <v>75(39)</v>
      </c>
      <c r="BF51" s="2" t="str">
        <f t="shared" si="11"/>
        <v>99(12)</v>
      </c>
      <c r="BG51" s="2" t="str">
        <f t="shared" si="12"/>
        <v>39(61)</v>
      </c>
      <c r="BH51" s="2" t="str">
        <f t="shared" si="13"/>
        <v>92(43)</v>
      </c>
      <c r="BI51" s="2" t="str">
        <f t="shared" si="14"/>
        <v>98(27)</v>
      </c>
      <c r="BJ51" s="2" t="str">
        <f t="shared" si="15"/>
        <v>92(43)</v>
      </c>
    </row>
    <row r="52" spans="1:62" x14ac:dyDescent="0.35">
      <c r="A52" t="s">
        <v>75</v>
      </c>
      <c r="B52">
        <v>38.549999999999997</v>
      </c>
      <c r="C52">
        <v>0.47</v>
      </c>
      <c r="D52">
        <v>42.33</v>
      </c>
      <c r="E52">
        <v>0.47</v>
      </c>
      <c r="F52">
        <v>41.7</v>
      </c>
      <c r="G52">
        <v>0.47</v>
      </c>
      <c r="H52">
        <v>92.04</v>
      </c>
      <c r="I52">
        <v>0.25</v>
      </c>
      <c r="J52">
        <v>96.78</v>
      </c>
      <c r="K52">
        <v>0.16</v>
      </c>
      <c r="L52">
        <v>98.13</v>
      </c>
      <c r="M52">
        <v>0.12</v>
      </c>
      <c r="N52">
        <v>91.32</v>
      </c>
      <c r="O52">
        <v>0.26</v>
      </c>
      <c r="P52">
        <v>35.6</v>
      </c>
      <c r="Q52">
        <v>0.46</v>
      </c>
      <c r="R52">
        <v>40.06</v>
      </c>
      <c r="S52">
        <v>0.47</v>
      </c>
      <c r="T52">
        <v>31.75</v>
      </c>
      <c r="U52">
        <v>0.45</v>
      </c>
      <c r="V52">
        <v>82.64</v>
      </c>
      <c r="W52">
        <v>0.36</v>
      </c>
      <c r="X52">
        <v>91.62</v>
      </c>
      <c r="Y52">
        <v>0.26</v>
      </c>
      <c r="Z52">
        <v>95.87</v>
      </c>
      <c r="AA52">
        <v>0.18</v>
      </c>
      <c r="AB52">
        <v>85.97</v>
      </c>
      <c r="AC52">
        <v>0.32</v>
      </c>
      <c r="AD52">
        <v>20.59</v>
      </c>
      <c r="AE52">
        <v>0.4</v>
      </c>
      <c r="AF52">
        <v>23.68</v>
      </c>
      <c r="AG52">
        <v>0.4</v>
      </c>
      <c r="AH52">
        <v>17.54</v>
      </c>
      <c r="AI52">
        <v>0.38</v>
      </c>
      <c r="AJ52">
        <v>55.31</v>
      </c>
      <c r="AK52">
        <v>0.47</v>
      </c>
      <c r="AL52">
        <v>71.66</v>
      </c>
      <c r="AM52">
        <v>0.42</v>
      </c>
      <c r="AN52">
        <v>85.42</v>
      </c>
      <c r="AO52">
        <v>0.34</v>
      </c>
      <c r="AP52">
        <v>55.5</v>
      </c>
      <c r="AQ52">
        <v>0.47</v>
      </c>
      <c r="AR52">
        <v>72.709999999999994</v>
      </c>
      <c r="AS52">
        <v>58.2</v>
      </c>
      <c r="AT52">
        <v>47.42</v>
      </c>
      <c r="AU52" s="2" t="str">
        <f t="shared" si="0"/>
        <v>39(8)</v>
      </c>
      <c r="AV52" s="2" t="str">
        <f t="shared" si="1"/>
        <v>42(5)</v>
      </c>
      <c r="AW52" s="2" t="str">
        <f t="shared" si="2"/>
        <v>73(20)</v>
      </c>
      <c r="AX52" s="2" t="str">
        <f t="shared" si="3"/>
        <v>98(2)</v>
      </c>
      <c r="AY52" s="2" t="str">
        <f t="shared" si="4"/>
        <v>42(24)</v>
      </c>
      <c r="AZ52" s="2" t="str">
        <f t="shared" si="5"/>
        <v>92(10)</v>
      </c>
      <c r="BA52" s="2" t="str">
        <f t="shared" si="6"/>
        <v>97(5)</v>
      </c>
      <c r="BB52" s="2" t="str">
        <f t="shared" si="7"/>
        <v>91(6)</v>
      </c>
      <c r="BC52" s="2" t="str">
        <f t="shared" si="8"/>
        <v>39(47)</v>
      </c>
      <c r="BD52" s="2" t="str">
        <f t="shared" si="9"/>
        <v>42(44.1)</v>
      </c>
      <c r="BE52" s="2" t="str">
        <f t="shared" si="10"/>
        <v>73(35)</v>
      </c>
      <c r="BF52" s="2" t="str">
        <f t="shared" si="11"/>
        <v>98(13)</v>
      </c>
      <c r="BG52" s="2" t="str">
        <f t="shared" si="12"/>
        <v>42(58)</v>
      </c>
      <c r="BH52" s="2" t="str">
        <f t="shared" si="13"/>
        <v>92(40)</v>
      </c>
      <c r="BI52" s="2" t="str">
        <f t="shared" si="14"/>
        <v>97(26)</v>
      </c>
      <c r="BJ52" s="2" t="str">
        <f t="shared" si="15"/>
        <v>91(39)</v>
      </c>
    </row>
    <row r="53" spans="1:62" x14ac:dyDescent="0.35">
      <c r="A53" t="s">
        <v>76</v>
      </c>
      <c r="B53">
        <v>33.159999999999997</v>
      </c>
      <c r="C53">
        <v>0.43</v>
      </c>
      <c r="D53">
        <v>35.159999999999997</v>
      </c>
      <c r="E53">
        <v>0.43</v>
      </c>
      <c r="F53">
        <v>40.61</v>
      </c>
      <c r="G53">
        <v>0.44</v>
      </c>
      <c r="H53">
        <v>92.08</v>
      </c>
      <c r="I53">
        <v>0.23</v>
      </c>
      <c r="J53">
        <v>95.92</v>
      </c>
      <c r="K53">
        <v>0.18</v>
      </c>
      <c r="L53">
        <v>97.83</v>
      </c>
      <c r="M53">
        <v>0.11</v>
      </c>
      <c r="N53">
        <v>91</v>
      </c>
      <c r="O53">
        <v>0.25</v>
      </c>
      <c r="P53">
        <v>30.18</v>
      </c>
      <c r="Q53">
        <v>0.42</v>
      </c>
      <c r="R53">
        <v>33.15</v>
      </c>
      <c r="S53">
        <v>0.42</v>
      </c>
      <c r="T53">
        <v>31.68</v>
      </c>
      <c r="U53">
        <v>0.42</v>
      </c>
      <c r="V53">
        <v>83.55</v>
      </c>
      <c r="W53">
        <v>0.31</v>
      </c>
      <c r="X53">
        <v>91.17</v>
      </c>
      <c r="Y53">
        <v>0.25</v>
      </c>
      <c r="Z53">
        <v>95.08</v>
      </c>
      <c r="AA53">
        <v>0.18</v>
      </c>
      <c r="AB53">
        <v>86.23</v>
      </c>
      <c r="AC53">
        <v>0.3</v>
      </c>
      <c r="AD53">
        <v>19.350000000000001</v>
      </c>
      <c r="AE53">
        <v>0.36</v>
      </c>
      <c r="AF53">
        <v>21.4</v>
      </c>
      <c r="AG53">
        <v>0.37</v>
      </c>
      <c r="AH53">
        <v>18.77</v>
      </c>
      <c r="AI53">
        <v>0.36</v>
      </c>
      <c r="AJ53">
        <v>58.98</v>
      </c>
      <c r="AK53">
        <v>0.44</v>
      </c>
      <c r="AL53">
        <v>72.25</v>
      </c>
      <c r="AM53">
        <v>0.39</v>
      </c>
      <c r="AN53">
        <v>85.16</v>
      </c>
      <c r="AO53">
        <v>0.3</v>
      </c>
      <c r="AP53">
        <v>58.93</v>
      </c>
      <c r="AQ53">
        <v>0.44</v>
      </c>
      <c r="AR53">
        <v>71.430000000000007</v>
      </c>
      <c r="AS53">
        <v>58.38</v>
      </c>
      <c r="AT53">
        <v>48.99</v>
      </c>
      <c r="AU53" s="2" t="str">
        <f t="shared" si="0"/>
        <v>33(9)</v>
      </c>
      <c r="AV53" s="2" t="str">
        <f t="shared" si="1"/>
        <v>35(6)</v>
      </c>
      <c r="AW53" s="2" t="str">
        <f t="shared" si="2"/>
        <v>71(18)</v>
      </c>
      <c r="AX53" s="2" t="str">
        <f t="shared" si="3"/>
        <v>98(3)</v>
      </c>
      <c r="AY53" s="2" t="str">
        <f t="shared" si="4"/>
        <v>41(22)</v>
      </c>
      <c r="AZ53" s="2" t="str">
        <f t="shared" si="5"/>
        <v>92(9)</v>
      </c>
      <c r="BA53" s="2" t="str">
        <f t="shared" si="6"/>
        <v>96(5)</v>
      </c>
      <c r="BB53" s="2" t="str">
        <f t="shared" si="7"/>
        <v>91(5)</v>
      </c>
      <c r="BC53" s="2" t="str">
        <f t="shared" si="8"/>
        <v>33(42)</v>
      </c>
      <c r="BD53" s="2" t="str">
        <f t="shared" si="9"/>
        <v>35(39.1)</v>
      </c>
      <c r="BE53" s="2" t="str">
        <f t="shared" si="10"/>
        <v>71(31)</v>
      </c>
      <c r="BF53" s="2" t="str">
        <f t="shared" si="11"/>
        <v>98(13)</v>
      </c>
      <c r="BG53" s="2" t="str">
        <f t="shared" si="12"/>
        <v>41(54)</v>
      </c>
      <c r="BH53" s="2" t="str">
        <f t="shared" si="13"/>
        <v>92(36)</v>
      </c>
      <c r="BI53" s="2" t="str">
        <f t="shared" si="14"/>
        <v>96(25)</v>
      </c>
      <c r="BJ53" s="2" t="str">
        <f t="shared" si="15"/>
        <v>91(35)</v>
      </c>
    </row>
    <row r="54" spans="1:62" x14ac:dyDescent="0.35">
      <c r="A54" t="s">
        <v>77</v>
      </c>
      <c r="B54">
        <v>29.48</v>
      </c>
      <c r="C54">
        <v>0.45</v>
      </c>
      <c r="D54">
        <v>29.86</v>
      </c>
      <c r="E54">
        <v>0.45</v>
      </c>
      <c r="F54">
        <v>38.229999999999997</v>
      </c>
      <c r="G54">
        <v>0.47</v>
      </c>
      <c r="H54">
        <v>91.25</v>
      </c>
      <c r="I54">
        <v>0.25</v>
      </c>
      <c r="J54">
        <v>94.33</v>
      </c>
      <c r="K54">
        <v>0.22</v>
      </c>
      <c r="L54">
        <v>96.89</v>
      </c>
      <c r="M54">
        <v>0.17</v>
      </c>
      <c r="N54">
        <v>89.52</v>
      </c>
      <c r="O54">
        <v>0.28000000000000003</v>
      </c>
      <c r="P54">
        <v>27.34</v>
      </c>
      <c r="Q54">
        <v>0.44</v>
      </c>
      <c r="R54">
        <v>28.44</v>
      </c>
      <c r="S54">
        <v>0.44</v>
      </c>
      <c r="T54">
        <v>30.17</v>
      </c>
      <c r="U54">
        <v>0.45</v>
      </c>
      <c r="V54">
        <v>83.69</v>
      </c>
      <c r="W54">
        <v>0.35</v>
      </c>
      <c r="X54">
        <v>89.68</v>
      </c>
      <c r="Y54">
        <v>0.28999999999999998</v>
      </c>
      <c r="Z54">
        <v>94.23</v>
      </c>
      <c r="AA54">
        <v>0.23</v>
      </c>
      <c r="AB54">
        <v>85.36</v>
      </c>
      <c r="AC54">
        <v>0.33</v>
      </c>
      <c r="AD54">
        <v>20.43</v>
      </c>
      <c r="AE54">
        <v>0.4</v>
      </c>
      <c r="AF54">
        <v>20.85</v>
      </c>
      <c r="AG54">
        <v>0.39</v>
      </c>
      <c r="AH54">
        <v>21.12</v>
      </c>
      <c r="AI54">
        <v>0.4</v>
      </c>
      <c r="AJ54">
        <v>64.64</v>
      </c>
      <c r="AK54">
        <v>0.46</v>
      </c>
      <c r="AL54">
        <v>73.930000000000007</v>
      </c>
      <c r="AM54">
        <v>0.42</v>
      </c>
      <c r="AN54">
        <v>85.35</v>
      </c>
      <c r="AO54">
        <v>0.34</v>
      </c>
      <c r="AP54">
        <v>63.9</v>
      </c>
      <c r="AQ54">
        <v>0.46</v>
      </c>
      <c r="AR54">
        <v>68.91</v>
      </c>
      <c r="AS54">
        <v>58.36</v>
      </c>
      <c r="AT54">
        <v>51.02</v>
      </c>
      <c r="AU54" s="2" t="str">
        <f t="shared" si="0"/>
        <v>29(7)</v>
      </c>
      <c r="AV54" s="2" t="str">
        <f t="shared" si="1"/>
        <v>30(5)</v>
      </c>
      <c r="AW54" s="2" t="str">
        <f t="shared" si="2"/>
        <v>69(15)</v>
      </c>
      <c r="AX54" s="2" t="str">
        <f t="shared" si="3"/>
        <v>97(3)</v>
      </c>
      <c r="AY54" s="2" t="str">
        <f t="shared" si="4"/>
        <v>38(21)</v>
      </c>
      <c r="AZ54" s="2" t="str">
        <f t="shared" si="5"/>
        <v>91(8)</v>
      </c>
      <c r="BA54" s="2" t="str">
        <f t="shared" si="6"/>
        <v>94(5)</v>
      </c>
      <c r="BB54" s="2" t="str">
        <f t="shared" si="7"/>
        <v>90(5)</v>
      </c>
      <c r="BC54" s="2" t="str">
        <f t="shared" si="8"/>
        <v>29(31)</v>
      </c>
      <c r="BD54" s="2" t="str">
        <f t="shared" si="9"/>
        <v>30(30.2)</v>
      </c>
      <c r="BE54" s="2" t="str">
        <f t="shared" si="10"/>
        <v>69(26)</v>
      </c>
      <c r="BF54" s="2" t="str">
        <f t="shared" si="11"/>
        <v>97(12)</v>
      </c>
      <c r="BG54" s="2" t="str">
        <f t="shared" si="12"/>
        <v>38(45)</v>
      </c>
      <c r="BH54" s="2" t="str">
        <f t="shared" si="13"/>
        <v>91(29)</v>
      </c>
      <c r="BI54" s="2" t="str">
        <f t="shared" si="14"/>
        <v>94(22)</v>
      </c>
      <c r="BJ54" s="2" t="str">
        <f t="shared" si="15"/>
        <v>90(29)</v>
      </c>
    </row>
    <row r="55" spans="1:62" x14ac:dyDescent="0.35">
      <c r="A55" t="s">
        <v>78</v>
      </c>
      <c r="B55">
        <v>32.33</v>
      </c>
      <c r="C55">
        <v>0.53</v>
      </c>
      <c r="D55">
        <v>30.59</v>
      </c>
      <c r="E55">
        <v>0.53</v>
      </c>
      <c r="F55">
        <v>38.14</v>
      </c>
      <c r="G55">
        <v>0.53</v>
      </c>
      <c r="H55">
        <v>89.43</v>
      </c>
      <c r="I55">
        <v>0.32</v>
      </c>
      <c r="J55">
        <v>90.34</v>
      </c>
      <c r="K55">
        <v>0.3</v>
      </c>
      <c r="L55">
        <v>94.95</v>
      </c>
      <c r="M55">
        <v>0.23</v>
      </c>
      <c r="N55">
        <v>86.79</v>
      </c>
      <c r="O55">
        <v>0.33</v>
      </c>
      <c r="P55">
        <v>31.46</v>
      </c>
      <c r="Q55">
        <v>0.53</v>
      </c>
      <c r="R55">
        <v>30.05</v>
      </c>
      <c r="S55">
        <v>0.53</v>
      </c>
      <c r="T55">
        <v>34.61</v>
      </c>
      <c r="U55">
        <v>0.53</v>
      </c>
      <c r="V55">
        <v>85.91</v>
      </c>
      <c r="W55">
        <v>0.35</v>
      </c>
      <c r="X55">
        <v>87.45</v>
      </c>
      <c r="Y55">
        <v>0.33</v>
      </c>
      <c r="Z55">
        <v>93.21</v>
      </c>
      <c r="AA55">
        <v>0.25</v>
      </c>
      <c r="AB55">
        <v>84.5</v>
      </c>
      <c r="AC55">
        <v>0.35</v>
      </c>
      <c r="AD55">
        <v>28.73</v>
      </c>
      <c r="AE55">
        <v>0.52</v>
      </c>
      <c r="AF55">
        <v>27.75</v>
      </c>
      <c r="AG55">
        <v>0.53</v>
      </c>
      <c r="AH55">
        <v>30.75</v>
      </c>
      <c r="AI55">
        <v>0.52</v>
      </c>
      <c r="AJ55">
        <v>77.31</v>
      </c>
      <c r="AK55">
        <v>0.42</v>
      </c>
      <c r="AL55">
        <v>80.62</v>
      </c>
      <c r="AM55">
        <v>0.39</v>
      </c>
      <c r="AN55">
        <v>88.67</v>
      </c>
      <c r="AO55">
        <v>0.32</v>
      </c>
      <c r="AP55">
        <v>74.95</v>
      </c>
      <c r="AQ55">
        <v>0.43</v>
      </c>
      <c r="AR55">
        <v>65.709999999999994</v>
      </c>
      <c r="AS55">
        <v>59.93</v>
      </c>
      <c r="AT55">
        <v>56.14</v>
      </c>
      <c r="AU55" s="2" t="str">
        <f t="shared" si="0"/>
        <v>32(3)</v>
      </c>
      <c r="AV55" s="2" t="str">
        <f t="shared" si="1"/>
        <v>31(2)</v>
      </c>
      <c r="AW55" s="2" t="str">
        <f t="shared" si="2"/>
        <v>66(9)</v>
      </c>
      <c r="AX55" s="2" t="str">
        <f t="shared" si="3"/>
        <v>95(2)</v>
      </c>
      <c r="AY55" s="2" t="str">
        <f t="shared" si="4"/>
        <v>38(9)</v>
      </c>
      <c r="AZ55" s="2" t="str">
        <f t="shared" si="5"/>
        <v>89(4)</v>
      </c>
      <c r="BA55" s="2" t="str">
        <f t="shared" si="6"/>
        <v>90(3)</v>
      </c>
      <c r="BB55" s="2" t="str">
        <f t="shared" si="7"/>
        <v>87(3)</v>
      </c>
      <c r="BC55" s="2" t="str">
        <f t="shared" si="8"/>
        <v>32(11)</v>
      </c>
      <c r="BD55" s="2" t="str">
        <f t="shared" si="9"/>
        <v>31(9.3)</v>
      </c>
      <c r="BE55" s="2" t="str">
        <f t="shared" si="10"/>
        <v>66(15)</v>
      </c>
      <c r="BF55" s="2" t="str">
        <f t="shared" si="11"/>
        <v>95(7)</v>
      </c>
      <c r="BG55" s="2" t="str">
        <f t="shared" si="12"/>
        <v>38(19)</v>
      </c>
      <c r="BH55" s="2" t="str">
        <f t="shared" si="13"/>
        <v>89(14)</v>
      </c>
      <c r="BI55" s="2" t="str">
        <f t="shared" si="14"/>
        <v>90(11)</v>
      </c>
      <c r="BJ55" s="2" t="str">
        <f t="shared" si="15"/>
        <v>87(14)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india_rice_inad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BATTCOCK</cp:lastModifiedBy>
  <dcterms:created xsi:type="dcterms:W3CDTF">2024-10-29T07:53:53Z</dcterms:created>
  <dcterms:modified xsi:type="dcterms:W3CDTF">2024-10-29T16:51:47Z</dcterms:modified>
</cp:coreProperties>
</file>